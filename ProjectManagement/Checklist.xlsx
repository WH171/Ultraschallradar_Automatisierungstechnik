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filterPrivacy="1" defaultThemeVersion="124226"/>
  <xr:revisionPtr revIDLastSave="0" documentId="13_ncr:1_{505A4640-FEBE-C944-9CBF-3676E294B8BD}" xr6:coauthVersionLast="47" xr6:coauthVersionMax="47" xr10:uidLastSave="{00000000-0000-0000-0000-000000000000}"/>
  <bookViews>
    <workbookView xWindow="3800" yWindow="600" windowWidth="21800" windowHeight="14200" xr2:uid="{00000000-000D-0000-FFFF-FFFF00000000}"/>
  </bookViews>
  <sheets>
    <sheet name="Checklist" sheetId="1" r:id="rId1"/>
    <sheet name="Projekt Plan V1.0 (deut.)" sheetId="4" r:id="rId2"/>
    <sheet name="Project Plan V1.0 (eng.)" sheetId="5" r:id="rId3"/>
    <sheet name="Resulting objects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l="1"/>
  <c r="A28" i="1" s="1"/>
  <c r="A29" i="1" s="1"/>
  <c r="A30" i="1" s="1"/>
  <c r="A31" i="1" s="1"/>
  <c r="A32" i="1" s="1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3" i="1" l="1"/>
  <c r="A34" i="1" s="1"/>
  <c r="A35" i="1" s="1"/>
  <c r="A36" i="1" s="1"/>
  <c r="A37" i="1" l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/>
  <c r="A59" i="1" s="1"/>
  <c r="A60" i="1" s="1"/>
  <c r="A61" i="1" s="1"/>
  <c r="A62" i="1" l="1"/>
  <c r="A63" i="1" s="1"/>
  <c r="A64" i="1" s="1"/>
  <c r="A65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<sst xmlns="http://schemas.openxmlformats.org/spreadsheetml/2006/main" count="164" uniqueCount="137">
  <si>
    <t>Checklist</t>
  </si>
  <si>
    <t>No.</t>
  </si>
  <si>
    <t>Topic</t>
  </si>
  <si>
    <t>done</t>
  </si>
  <si>
    <t>install TeXStudio</t>
  </si>
  <si>
    <t>install Sumatrapdf</t>
  </si>
  <si>
    <t>test template poster</t>
  </si>
  <si>
    <t>configure TeXStudio</t>
  </si>
  <si>
    <t>test template Presentations/template</t>
  </si>
  <si>
    <t>install doxygen</t>
  </si>
  <si>
    <t>read ProjectManagement/BestPractice.pdf</t>
  </si>
  <si>
    <t>List of keywords</t>
  </si>
  <si>
    <t>bib file</t>
  </si>
  <si>
    <t>Bibliography in the report</t>
  </si>
  <si>
    <t>Subtask</t>
  </si>
  <si>
    <t>Resulting objects</t>
  </si>
  <si>
    <t>Object Detection with Jetson Nano integrated in a Kuka KR6</t>
  </si>
  <si>
    <t>Name, Vorname</t>
  </si>
  <si>
    <t>cc: Firmenbetreuer</t>
  </si>
  <si>
    <t>Matr.-Nr</t>
  </si>
  <si>
    <t>&lt;1234567&gt;</t>
  </si>
  <si>
    <t xml:space="preserve">      Projektpartner</t>
  </si>
  <si>
    <t xml:space="preserve">      Erstprüfer</t>
  </si>
  <si>
    <t>date</t>
  </si>
  <si>
    <t>literature research</t>
  </si>
  <si>
    <t>presentation "Introduction"</t>
  </si>
  <si>
    <t>project plan</t>
  </si>
  <si>
    <t>presentation "Project Plan"</t>
  </si>
  <si>
    <t>KW</t>
  </si>
  <si>
    <t>TP-Nr.</t>
  </si>
  <si>
    <t>TP-Name</t>
  </si>
  <si>
    <t>Besprechungen</t>
  </si>
  <si>
    <t>update project plan</t>
  </si>
  <si>
    <t>fulfill the list "Resulting Objects"</t>
  </si>
  <si>
    <t>update the list "Resulting Objects"</t>
  </si>
  <si>
    <t>presentation "Project Plan" II</t>
  </si>
  <si>
    <t>check: all website as pdf-file?</t>
  </si>
  <si>
    <t>check: all pdfs in the folder Documents?</t>
  </si>
  <si>
    <t>check: all images okay?</t>
  </si>
  <si>
    <t>First two weeks</t>
  </si>
  <si>
    <t>Processing the project</t>
  </si>
  <si>
    <t>Final stage</t>
  </si>
  <si>
    <t>print poster</t>
  </si>
  <si>
    <t>check: poster?</t>
  </si>
  <si>
    <t>rename all tex files along the project plan</t>
  </si>
  <si>
    <t>check: GitHub project</t>
  </si>
  <si>
    <t>delete or add additional TeX or Python projects, e.g. Manual</t>
  </si>
  <si>
    <t>check spelling</t>
  </si>
  <si>
    <t>ready minimal one day before deadline</t>
  </si>
  <si>
    <t>Das Liebesleben der Maikäfer bei Nacht</t>
  </si>
  <si>
    <t>...</t>
  </si>
  <si>
    <t>lfd. Woche</t>
  </si>
  <si>
    <t>Dauer</t>
  </si>
  <si>
    <t>Einarbeitung / Literatur</t>
  </si>
  <si>
    <t>Verfassen PA / BT / DA / MT</t>
  </si>
  <si>
    <t>Durchsicht</t>
  </si>
  <si>
    <t xml:space="preserve"> </t>
  </si>
  <si>
    <t>Kolloquium</t>
  </si>
  <si>
    <t>Urlaub / Feiertage</t>
  </si>
  <si>
    <t>Geburt</t>
  </si>
  <si>
    <t>Ostern</t>
  </si>
  <si>
    <t>Pfingsten</t>
  </si>
  <si>
    <t>Anmeldung / Abgabe</t>
  </si>
  <si>
    <t>34. März</t>
  </si>
  <si>
    <t>34. Juli</t>
  </si>
  <si>
    <t>PJ   =   Projekt</t>
  </si>
  <si>
    <t>TP   =  Teilprojekt</t>
  </si>
  <si>
    <t>x  =  f(Studiengang)</t>
  </si>
  <si>
    <t>The Love Life of Cockchafers at Night</t>
  </si>
  <si>
    <t>Week of Year</t>
  </si>
  <si>
    <t>Project Week</t>
  </si>
  <si>
    <t>SP No.</t>
  </si>
  <si>
    <t>SP's Title</t>
  </si>
  <si>
    <t>Duration</t>
  </si>
  <si>
    <t>Informative activities / literature</t>
  </si>
  <si>
    <t>Writing of thesis</t>
  </si>
  <si>
    <t>First checking through by examiner</t>
  </si>
  <si>
    <t>Optimization</t>
  </si>
  <si>
    <t>Colloquium</t>
  </si>
  <si>
    <t>Vacation / holidays</t>
  </si>
  <si>
    <t>Birth</t>
  </si>
  <si>
    <t>Easter</t>
  </si>
  <si>
    <t>Pentecost</t>
  </si>
  <si>
    <t>Enrolement / Submission</t>
  </si>
  <si>
    <t>March 34</t>
  </si>
  <si>
    <t>July 34</t>
  </si>
  <si>
    <t>Meetings</t>
  </si>
  <si>
    <t>SP   =  Sub-project</t>
  </si>
  <si>
    <t>x  =  f(course of study)</t>
  </si>
  <si>
    <t>List of all Resulting Objects</t>
  </si>
  <si>
    <t>…</t>
  </si>
  <si>
    <t>update every day!</t>
  </si>
  <si>
    <t>fulfill author.xlsx</t>
  </si>
  <si>
    <t>Install TeXLive</t>
  </si>
  <si>
    <t>test template report</t>
  </si>
  <si>
    <t>presentation "Literature"</t>
  </si>
  <si>
    <t>Literature</t>
  </si>
  <si>
    <t>pdf documents</t>
  </si>
  <si>
    <t>Brief description of the sources</t>
  </si>
  <si>
    <t>quality check</t>
  </si>
  <si>
    <t>bibliography</t>
  </si>
  <si>
    <t>pdf files</t>
  </si>
  <si>
    <t>challenges with citations</t>
  </si>
  <si>
    <t>write n introduction with citations</t>
  </si>
  <si>
    <t>Readme.md</t>
  </si>
  <si>
    <t>readme.md</t>
  </si>
  <si>
    <t>domain knowledge</t>
  </si>
  <si>
    <t>algorithm</t>
  </si>
  <si>
    <t>tools</t>
  </si>
  <si>
    <t>methodology</t>
  </si>
  <si>
    <t xml:space="preserve">database </t>
  </si>
  <si>
    <t>database description</t>
  </si>
  <si>
    <t>Homework "John Ousterhout"</t>
  </si>
  <si>
    <t>Evaluation</t>
  </si>
  <si>
    <t>Validation</t>
  </si>
  <si>
    <t>updated Project plan</t>
  </si>
  <si>
    <t>updated README.md</t>
  </si>
  <si>
    <t>updated Resulting objects</t>
  </si>
  <si>
    <t>Homework "UpdatedLiterature"</t>
  </si>
  <si>
    <t>Development structure</t>
  </si>
  <si>
    <t>Manual</t>
  </si>
  <si>
    <t>List of Material</t>
  </si>
  <si>
    <t>database discussion</t>
  </si>
  <si>
    <t>From Development to Deployment</t>
  </si>
  <si>
    <t>Development Environment</t>
  </si>
  <si>
    <t>Flow Chart</t>
  </si>
  <si>
    <t>tests</t>
  </si>
  <si>
    <t>1st Week</t>
  </si>
  <si>
    <t>2nd week</t>
  </si>
  <si>
    <t>3rd week</t>
  </si>
  <si>
    <t>4th week</t>
  </si>
  <si>
    <t>5th week</t>
  </si>
  <si>
    <t>6th week</t>
  </si>
  <si>
    <t>7th week</t>
  </si>
  <si>
    <t>8th weeek</t>
  </si>
  <si>
    <t>9th week</t>
  </si>
  <si>
    <t>10 th weeek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</si>
</sst>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i/>
      <sz val="8"/>
      <name val="Tahoma"/>
      <family val="2"/>
    </font>
    <font>
      <sz val="9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6" fillId="0" borderId="3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24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vertical="center" textRotation="180"/>
    </xf>
    <xf numFmtId="0" fontId="0" fillId="0" borderId="0" xfId="0" applyAlignment="1">
      <alignment horizontal="center" vertical="center" textRotation="180"/>
    </xf>
    <xf numFmtId="0" fontId="0" fillId="2" borderId="0" xfId="0" applyFill="1" applyAlignment="1">
      <alignment horizontal="center" textRotation="180"/>
    </xf>
    <xf numFmtId="0" fontId="0" fillId="0" borderId="0" xfId="0" applyAlignment="1">
      <alignment horizontal="center" textRotation="180"/>
    </xf>
    <xf numFmtId="0" fontId="5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38100</xdr:rowOff>
    </xdr:from>
    <xdr:to>
      <xdr:col>8</xdr:col>
      <xdr:colOff>247650</xdr:colOff>
      <xdr:row>16</xdr:row>
      <xdr:rowOff>209550</xdr:rowOff>
    </xdr:to>
    <xdr:sp macro="" textlink="">
      <xdr:nvSpPr>
        <xdr:cNvPr id="2" name="Rectangle 26" descr="10%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4829175" y="3067050"/>
          <a:ext cx="10953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142875</xdr:colOff>
      <xdr:row>13</xdr:row>
      <xdr:rowOff>47625</xdr:rowOff>
    </xdr:from>
    <xdr:to>
      <xdr:col>7</xdr:col>
      <xdr:colOff>361950</xdr:colOff>
      <xdr:row>32</xdr:row>
      <xdr:rowOff>57150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21017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9</xdr:col>
      <xdr:colOff>19050</xdr:colOff>
      <xdr:row>13</xdr:row>
      <xdr:rowOff>95250</xdr:rowOff>
    </xdr:from>
    <xdr:to>
      <xdr:col>9</xdr:col>
      <xdr:colOff>219075</xdr:colOff>
      <xdr:row>16</xdr:row>
      <xdr:rowOff>28575</xdr:rowOff>
    </xdr:to>
    <xdr:sp macro="" textlink="">
      <xdr:nvSpPr>
        <xdr:cNvPr id="4" name="Text Box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6305550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Anmeldung</a:t>
          </a:r>
          <a:endParaRPr lang="de-DE"/>
        </a:p>
      </xdr:txBody>
    </xdr:sp>
    <xdr:clientData/>
  </xdr:twoCellAnchor>
  <xdr:twoCellAnchor>
    <xdr:from>
      <xdr:col>14</xdr:col>
      <xdr:colOff>457200</xdr:colOff>
      <xdr:row>13</xdr:row>
      <xdr:rowOff>47625</xdr:rowOff>
    </xdr:from>
    <xdr:to>
      <xdr:col>14</xdr:col>
      <xdr:colOff>457200</xdr:colOff>
      <xdr:row>33</xdr:row>
      <xdr:rowOff>28575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9791700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13</xdr:row>
      <xdr:rowOff>47625</xdr:rowOff>
    </xdr:from>
    <xdr:to>
      <xdr:col>9</xdr:col>
      <xdr:colOff>266700</xdr:colOff>
      <xdr:row>33</xdr:row>
      <xdr:rowOff>28575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6553200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266700</xdr:colOff>
      <xdr:row>34</xdr:row>
      <xdr:rowOff>57150</xdr:rowOff>
    </xdr:from>
    <xdr:to>
      <xdr:col>4</xdr:col>
      <xdr:colOff>447675</xdr:colOff>
      <xdr:row>34</xdr:row>
      <xdr:rowOff>180975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350520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361950</xdr:colOff>
      <xdr:row>34</xdr:row>
      <xdr:rowOff>57150</xdr:rowOff>
    </xdr:from>
    <xdr:to>
      <xdr:col>6</xdr:col>
      <xdr:colOff>542925</xdr:colOff>
      <xdr:row>34</xdr:row>
      <xdr:rowOff>180975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48196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34</xdr:row>
      <xdr:rowOff>57150</xdr:rowOff>
    </xdr:from>
    <xdr:to>
      <xdr:col>8</xdr:col>
      <xdr:colOff>466725</xdr:colOff>
      <xdr:row>34</xdr:row>
      <xdr:rowOff>180975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59626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34</xdr:row>
      <xdr:rowOff>57150</xdr:rowOff>
    </xdr:from>
    <xdr:to>
      <xdr:col>10</xdr:col>
      <xdr:colOff>371475</xdr:colOff>
      <xdr:row>34</xdr:row>
      <xdr:rowOff>180975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708660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400050</xdr:colOff>
      <xdr:row>34</xdr:row>
      <xdr:rowOff>57150</xdr:rowOff>
    </xdr:from>
    <xdr:to>
      <xdr:col>12</xdr:col>
      <xdr:colOff>581025</xdr:colOff>
      <xdr:row>34</xdr:row>
      <xdr:rowOff>180975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153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209550</xdr:colOff>
      <xdr:row>13</xdr:row>
      <xdr:rowOff>47625</xdr:rowOff>
    </xdr:from>
    <xdr:to>
      <xdr:col>10</xdr:col>
      <xdr:colOff>428625</xdr:colOff>
      <xdr:row>32</xdr:row>
      <xdr:rowOff>57150</xdr:rowOff>
    </xdr:to>
    <xdr:sp macro="" textlink="">
      <xdr:nvSpPr>
        <xdr:cNvPr id="12" name="Text Box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710565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12</xdr:col>
      <xdr:colOff>161925</xdr:colOff>
      <xdr:row>13</xdr:row>
      <xdr:rowOff>47625</xdr:rowOff>
    </xdr:from>
    <xdr:to>
      <xdr:col>12</xdr:col>
      <xdr:colOff>381000</xdr:colOff>
      <xdr:row>32</xdr:row>
      <xdr:rowOff>57150</xdr:rowOff>
    </xdr:to>
    <xdr:sp macro="" textlink="">
      <xdr:nvSpPr>
        <xdr:cNvPr id="13" name="Text Box 1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827722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14</xdr:col>
      <xdr:colOff>200025</xdr:colOff>
      <xdr:row>13</xdr:row>
      <xdr:rowOff>95250</xdr:rowOff>
    </xdr:from>
    <xdr:to>
      <xdr:col>14</xdr:col>
      <xdr:colOff>400050</xdr:colOff>
      <xdr:row>16</xdr:row>
      <xdr:rowOff>28575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534525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Abgabe</a:t>
          </a:r>
          <a:endParaRPr lang="de-DE"/>
        </a:p>
      </xdr:txBody>
    </xdr:sp>
    <xdr:clientData/>
  </xdr:twoCellAnchor>
  <xdr:twoCellAnchor>
    <xdr:from>
      <xdr:col>3</xdr:col>
      <xdr:colOff>19050</xdr:colOff>
      <xdr:row>13</xdr:row>
      <xdr:rowOff>38100</xdr:rowOff>
    </xdr:from>
    <xdr:to>
      <xdr:col>5</xdr:col>
      <xdr:colOff>247650</xdr:colOff>
      <xdr:row>13</xdr:row>
      <xdr:rowOff>209550</xdr:rowOff>
    </xdr:to>
    <xdr:sp macro="" textlink="">
      <xdr:nvSpPr>
        <xdr:cNvPr id="15" name="Rectangle 14" descr="10%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647950" y="2324100"/>
          <a:ext cx="1447800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14</xdr:row>
      <xdr:rowOff>38100</xdr:rowOff>
    </xdr:from>
    <xdr:to>
      <xdr:col>5</xdr:col>
      <xdr:colOff>342900</xdr:colOff>
      <xdr:row>14</xdr:row>
      <xdr:rowOff>209550</xdr:rowOff>
    </xdr:to>
    <xdr:sp macro="" textlink="">
      <xdr:nvSpPr>
        <xdr:cNvPr id="16" name="Rectangle 15" descr="10%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3552825" y="2571750"/>
          <a:ext cx="6381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495300</xdr:colOff>
      <xdr:row>26</xdr:row>
      <xdr:rowOff>0</xdr:rowOff>
    </xdr:from>
    <xdr:to>
      <xdr:col>13</xdr:col>
      <xdr:colOff>47625</xdr:colOff>
      <xdr:row>27</xdr:row>
      <xdr:rowOff>0</xdr:rowOff>
    </xdr:to>
    <xdr:grpSp>
      <xdr:nvGrpSpPr>
        <xdr:cNvPr id="17" name="Group 2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>
          <a:grpSpLocks/>
        </xdr:cNvGrpSpPr>
      </xdr:nvGrpSpPr>
      <xdr:grpSpPr bwMode="auto">
        <a:xfrm>
          <a:off x="8750300" y="5067300"/>
          <a:ext cx="2028825" cy="190500"/>
          <a:chOff x="691" y="481"/>
          <a:chExt cx="144" cy="27"/>
        </a:xfrm>
      </xdr:grpSpPr>
      <xdr:sp macro="" textlink="">
        <xdr:nvSpPr>
          <xdr:cNvPr id="18" name="Rectangle 16" descr="10%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747" y="487"/>
            <a:ext cx="88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Rectangle 17" descr="10%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691" y="487"/>
            <a:ext cx="43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/>
          </xdr:cNvSpPr>
        </xdr:nvSpPr>
        <xdr:spPr bwMode="auto">
          <a:xfrm>
            <a:off x="728" y="481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/>
          </xdr:cNvSpPr>
        </xdr:nvSpPr>
        <xdr:spPr bwMode="auto">
          <a:xfrm>
            <a:off x="741" y="482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28575</xdr:colOff>
      <xdr:row>13</xdr:row>
      <xdr:rowOff>114300</xdr:rowOff>
    </xdr:from>
    <xdr:to>
      <xdr:col>4</xdr:col>
      <xdr:colOff>285750</xdr:colOff>
      <xdr:row>13</xdr:row>
      <xdr:rowOff>209550</xdr:rowOff>
    </xdr:to>
    <xdr:sp macro="" textlink="">
      <xdr:nvSpPr>
        <xdr:cNvPr id="22" name="Rectangl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657475" y="2400300"/>
          <a:ext cx="8667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6</xdr:row>
      <xdr:rowOff>38100</xdr:rowOff>
    </xdr:from>
    <xdr:to>
      <xdr:col>1</xdr:col>
      <xdr:colOff>885825</xdr:colOff>
      <xdr:row>8</xdr:row>
      <xdr:rowOff>95250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66675" y="1085850"/>
          <a:ext cx="1257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Hermann Meyer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1112569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7. Sem   PVT</a:t>
          </a:r>
          <a:endParaRPr lang="de-DE"/>
        </a:p>
      </xdr:txBody>
    </xdr:sp>
    <xdr:clientData/>
  </xdr:twoCellAnchor>
  <xdr:twoCellAnchor>
    <xdr:from>
      <xdr:col>0</xdr:col>
      <xdr:colOff>66675</xdr:colOff>
      <xdr:row>35</xdr:row>
      <xdr:rowOff>114300</xdr:rowOff>
    </xdr:from>
    <xdr:to>
      <xdr:col>1</xdr:col>
      <xdr:colOff>971550</xdr:colOff>
      <xdr:row>37</xdr:row>
      <xdr:rowOff>0</xdr:rowOff>
    </xdr:to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66675" y="7639050"/>
          <a:ext cx="13430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Version:  1.3 / 29.02.2025</a:t>
          </a:r>
          <a:endParaRPr lang="de-DE"/>
        </a:p>
      </xdr:txBody>
    </xdr:sp>
    <xdr:clientData/>
  </xdr:twoCellAnchor>
  <xdr:twoCellAnchor>
    <xdr:from>
      <xdr:col>1</xdr:col>
      <xdr:colOff>914400</xdr:colOff>
      <xdr:row>3</xdr:row>
      <xdr:rowOff>19050</xdr:rowOff>
    </xdr:from>
    <xdr:to>
      <xdr:col>3</xdr:col>
      <xdr:colOff>171450</xdr:colOff>
      <xdr:row>5</xdr:row>
      <xdr:rowOff>47625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1352550" y="666750"/>
          <a:ext cx="1447800" cy="295275"/>
        </a:xfrm>
        <a:prstGeom prst="wedgeRoundRectCallout">
          <a:avLst>
            <a:gd name="adj1" fmla="val -57736"/>
            <a:gd name="adj2" fmla="val 11451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Persönliche Daten</a:t>
          </a:r>
          <a:endParaRPr lang="de-DE"/>
        </a:p>
      </xdr:txBody>
    </xdr:sp>
    <xdr:clientData/>
  </xdr:twoCellAnchor>
  <xdr:twoCellAnchor>
    <xdr:from>
      <xdr:col>6</xdr:col>
      <xdr:colOff>228600</xdr:colOff>
      <xdr:row>3</xdr:row>
      <xdr:rowOff>19050</xdr:rowOff>
    </xdr:from>
    <xdr:to>
      <xdr:col>8</xdr:col>
      <xdr:colOff>38100</xdr:colOff>
      <xdr:row>5</xdr:row>
      <xdr:rowOff>47625</xdr:rowOff>
    </xdr:to>
    <xdr:sp macro="" textlink="">
      <xdr:nvSpPr>
        <xdr:cNvPr id="26" name="AutoShape 2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4686300" y="666750"/>
          <a:ext cx="1028700" cy="295275"/>
        </a:xfrm>
        <a:prstGeom prst="wedgeRoundRectCallout">
          <a:avLst>
            <a:gd name="adj1" fmla="val 99074"/>
            <a:gd name="adj2" fmla="val 153227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Vorläufiger Titel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der Arbeit</a:t>
          </a:r>
          <a:endParaRPr lang="de-DE"/>
        </a:p>
      </xdr:txBody>
    </xdr:sp>
    <xdr:clientData/>
  </xdr:twoCellAnchor>
  <xdr:twoCellAnchor>
    <xdr:from>
      <xdr:col>1</xdr:col>
      <xdr:colOff>276225</xdr:colOff>
      <xdr:row>21</xdr:row>
      <xdr:rowOff>76200</xdr:rowOff>
    </xdr:from>
    <xdr:to>
      <xdr:col>1</xdr:col>
      <xdr:colOff>1238250</xdr:colOff>
      <xdr:row>24</xdr:row>
      <xdr:rowOff>19050</xdr:rowOff>
    </xdr:to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714375" y="4343400"/>
          <a:ext cx="962025" cy="685800"/>
        </a:xfrm>
        <a:prstGeom prst="wedgeRoundRectCallout">
          <a:avLst>
            <a:gd name="adj1" fmla="val -92574"/>
            <a:gd name="adj2" fmla="val -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Nr. des Teilprojektes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(10 - 20 incl. Kolloquium)</a:t>
          </a:r>
          <a:endParaRPr lang="de-DE"/>
        </a:p>
      </xdr:txBody>
    </xdr:sp>
    <xdr:clientData/>
  </xdr:twoCellAnchor>
  <xdr:twoCellAnchor>
    <xdr:from>
      <xdr:col>1</xdr:col>
      <xdr:colOff>523875</xdr:colOff>
      <xdr:row>16</xdr:row>
      <xdr:rowOff>85725</xdr:rowOff>
    </xdr:from>
    <xdr:to>
      <xdr:col>1</xdr:col>
      <xdr:colOff>1400175</xdr:colOff>
      <xdr:row>17</xdr:row>
      <xdr:rowOff>133350</xdr:rowOff>
    </xdr:to>
    <xdr:sp macro="" textlink="">
      <xdr:nvSpPr>
        <xdr:cNvPr id="28" name="AutoShape 3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962025" y="3114675"/>
          <a:ext cx="876300" cy="295275"/>
        </a:xfrm>
        <a:prstGeom prst="wedgeRoundRectCallout">
          <a:avLst>
            <a:gd name="adj1" fmla="val -66306"/>
            <a:gd name="adj2" fmla="val -25967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Bezeichnung des Teilprojektes</a:t>
          </a:r>
          <a:endParaRPr lang="de-DE"/>
        </a:p>
      </xdr:txBody>
    </xdr:sp>
    <xdr:clientData/>
  </xdr:twoCellAnchor>
  <xdr:twoCellAnchor>
    <xdr:from>
      <xdr:col>4</xdr:col>
      <xdr:colOff>0</xdr:colOff>
      <xdr:row>3</xdr:row>
      <xdr:rowOff>19050</xdr:rowOff>
    </xdr:from>
    <xdr:to>
      <xdr:col>5</xdr:col>
      <xdr:colOff>419100</xdr:colOff>
      <xdr:row>5</xdr:row>
      <xdr:rowOff>95250</xdr:rowOff>
    </xdr:to>
    <xdr:sp macro="" textlink="">
      <xdr:nvSpPr>
        <xdr:cNvPr id="29" name="AutoShape 3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3238500" y="666750"/>
          <a:ext cx="1028700" cy="342900"/>
        </a:xfrm>
        <a:prstGeom prst="wedgeRoundRectCallout">
          <a:avLst>
            <a:gd name="adj1" fmla="val 87037"/>
            <a:gd name="adj2" fmla="val 29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Kalenderwoche des Jahres = zeitl. Lage</a:t>
          </a:r>
          <a:endParaRPr lang="de-DE"/>
        </a:p>
      </xdr:txBody>
    </xdr:sp>
    <xdr:clientData/>
  </xdr:twoCellAnchor>
  <xdr:twoCellAnchor>
    <xdr:from>
      <xdr:col>1</xdr:col>
      <xdr:colOff>1219200</xdr:colOff>
      <xdr:row>6</xdr:row>
      <xdr:rowOff>114300</xdr:rowOff>
    </xdr:from>
    <xdr:to>
      <xdr:col>4</xdr:col>
      <xdr:colOff>66675</xdr:colOff>
      <xdr:row>8</xdr:row>
      <xdr:rowOff>76200</xdr:rowOff>
    </xdr:to>
    <xdr:sp macro="" textlink="">
      <xdr:nvSpPr>
        <xdr:cNvPr id="30" name="AutoShape 3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1657350" y="1162050"/>
          <a:ext cx="1647825" cy="381000"/>
        </a:xfrm>
        <a:prstGeom prst="wedgeRoundRectCallout">
          <a:avLst>
            <a:gd name="adj1" fmla="val 75926"/>
            <a:gd name="adj2" fmla="val 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Laufende Woche der Arbeit seit Start =&gt; Dauer</a:t>
          </a:r>
          <a:endParaRPr lang="de-DE"/>
        </a:p>
      </xdr:txBody>
    </xdr:sp>
    <xdr:clientData/>
  </xdr:twoCellAnchor>
  <xdr:twoCellAnchor>
    <xdr:from>
      <xdr:col>13</xdr:col>
      <xdr:colOff>152400</xdr:colOff>
      <xdr:row>19</xdr:row>
      <xdr:rowOff>200025</xdr:rowOff>
    </xdr:from>
    <xdr:to>
      <xdr:col>15</xdr:col>
      <xdr:colOff>142875</xdr:colOff>
      <xdr:row>21</xdr:row>
      <xdr:rowOff>76200</xdr:rowOff>
    </xdr:to>
    <xdr:sp macro="" textlink="">
      <xdr:nvSpPr>
        <xdr:cNvPr id="31" name="AutoShape 3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8877300" y="3971925"/>
          <a:ext cx="1209675" cy="371475"/>
        </a:xfrm>
        <a:prstGeom prst="wedgeRoundRectCallout">
          <a:avLst>
            <a:gd name="adj1" fmla="val -87796"/>
            <a:gd name="adj2" fmla="val -1551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planbare Ausfallzeiten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(selbst, Partner, Prüfer)</a:t>
          </a:r>
          <a:endParaRPr lang="de-DE"/>
        </a:p>
      </xdr:txBody>
    </xdr:sp>
    <xdr:clientData/>
  </xdr:twoCellAnchor>
  <xdr:twoCellAnchor>
    <xdr:from>
      <xdr:col>8</xdr:col>
      <xdr:colOff>590550</xdr:colOff>
      <xdr:row>36</xdr:row>
      <xdr:rowOff>76200</xdr:rowOff>
    </xdr:from>
    <xdr:to>
      <xdr:col>12</xdr:col>
      <xdr:colOff>133350</xdr:colOff>
      <xdr:row>39</xdr:row>
      <xdr:rowOff>9525</xdr:rowOff>
    </xdr:to>
    <xdr:sp macro="" textlink="">
      <xdr:nvSpPr>
        <xdr:cNvPr id="32" name="AutoShape 34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6267450" y="7743825"/>
          <a:ext cx="1981200" cy="333375"/>
        </a:xfrm>
        <a:prstGeom prst="wedgeRoundRectCallout">
          <a:avLst>
            <a:gd name="adj1" fmla="val -35097"/>
            <a:gd name="adj2" fmla="val -25571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Anmeldetermin = gepl. Abgabetermin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abzgl. x Monate  (für BT/DA/MT)</a:t>
          </a:r>
          <a:endParaRPr lang="de-DE"/>
        </a:p>
      </xdr:txBody>
    </xdr:sp>
    <xdr:clientData/>
  </xdr:twoCellAnchor>
  <xdr:twoCellAnchor>
    <xdr:from>
      <xdr:col>12</xdr:col>
      <xdr:colOff>533400</xdr:colOff>
      <xdr:row>36</xdr:row>
      <xdr:rowOff>66675</xdr:rowOff>
    </xdr:from>
    <xdr:to>
      <xdr:col>14</xdr:col>
      <xdr:colOff>85725</xdr:colOff>
      <xdr:row>39</xdr:row>
      <xdr:rowOff>9525</xdr:rowOff>
    </xdr:to>
    <xdr:sp macro="" textlink="">
      <xdr:nvSpPr>
        <xdr:cNvPr id="33" name="AutoShape 3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8648700" y="7734300"/>
          <a:ext cx="771525" cy="342900"/>
        </a:xfrm>
        <a:prstGeom prst="wedgeRoundRectCallout">
          <a:avLst>
            <a:gd name="adj1" fmla="val 69755"/>
            <a:gd name="adj2" fmla="val -19444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geplanter Abgabetermin </a:t>
          </a:r>
          <a:endParaRPr lang="de-DE"/>
        </a:p>
      </xdr:txBody>
    </xdr:sp>
    <xdr:clientData/>
  </xdr:twoCellAnchor>
  <xdr:twoCellAnchor>
    <xdr:from>
      <xdr:col>4</xdr:col>
      <xdr:colOff>76200</xdr:colOff>
      <xdr:row>19</xdr:row>
      <xdr:rowOff>200025</xdr:rowOff>
    </xdr:from>
    <xdr:to>
      <xdr:col>6</xdr:col>
      <xdr:colOff>533400</xdr:colOff>
      <xdr:row>21</xdr:row>
      <xdr:rowOff>171450</xdr:rowOff>
    </xdr:to>
    <xdr:sp macro="" textlink="">
      <xdr:nvSpPr>
        <xdr:cNvPr id="34" name="AutoShape 36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3314700" y="3971925"/>
          <a:ext cx="1676400" cy="466725"/>
        </a:xfrm>
        <a:prstGeom prst="wedgeRoundRectCallout">
          <a:avLst>
            <a:gd name="adj1" fmla="val 47157"/>
            <a:gd name="adj2" fmla="val -22550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Teilprojekt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Balkenlänge = geschätzte Dauer; </a:t>
          </a: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kleinste Einheit = 0,5 Wochen</a:t>
          </a:r>
          <a:endParaRPr lang="de-DE"/>
        </a:p>
      </xdr:txBody>
    </xdr:sp>
    <xdr:clientData/>
  </xdr:twoCellAnchor>
  <xdr:twoCellAnchor>
    <xdr:from>
      <xdr:col>3</xdr:col>
      <xdr:colOff>228600</xdr:colOff>
      <xdr:row>16</xdr:row>
      <xdr:rowOff>0</xdr:rowOff>
    </xdr:from>
    <xdr:to>
      <xdr:col>5</xdr:col>
      <xdr:colOff>581025</xdr:colOff>
      <xdr:row>18</xdr:row>
      <xdr:rowOff>0</xdr:rowOff>
    </xdr:to>
    <xdr:sp macro="" textlink="">
      <xdr:nvSpPr>
        <xdr:cNvPr id="35" name="AutoShape 3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2857500" y="3028950"/>
          <a:ext cx="1571625" cy="495300"/>
        </a:xfrm>
        <a:prstGeom prst="wedgeRoundRectCallout">
          <a:avLst>
            <a:gd name="adj1" fmla="val -37273"/>
            <a:gd name="adj2" fmla="val -16923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subjektiver Abarbeitungzustand des TP bei korrelierender Besprechung</a:t>
          </a:r>
          <a:endParaRPr lang="de-DE"/>
        </a:p>
      </xdr:txBody>
    </xdr:sp>
    <xdr:clientData/>
  </xdr:twoCellAnchor>
  <xdr:twoCellAnchor>
    <xdr:from>
      <xdr:col>15</xdr:col>
      <xdr:colOff>371475</xdr:colOff>
      <xdr:row>34</xdr:row>
      <xdr:rowOff>57150</xdr:rowOff>
    </xdr:from>
    <xdr:to>
      <xdr:col>15</xdr:col>
      <xdr:colOff>552450</xdr:colOff>
      <xdr:row>34</xdr:row>
      <xdr:rowOff>180975</xdr:rowOff>
    </xdr:to>
    <xdr:sp macro="" textlink="">
      <xdr:nvSpPr>
        <xdr:cNvPr id="36" name="AutoShape 38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103155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590550</xdr:colOff>
      <xdr:row>36</xdr:row>
      <xdr:rowOff>76200</xdr:rowOff>
    </xdr:from>
    <xdr:to>
      <xdr:col>8</xdr:col>
      <xdr:colOff>104775</xdr:colOff>
      <xdr:row>39</xdr:row>
      <xdr:rowOff>19050</xdr:rowOff>
    </xdr:to>
    <xdr:sp macro="" textlink="">
      <xdr:nvSpPr>
        <xdr:cNvPr id="37" name="AutoShape 3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4438650" y="7743825"/>
          <a:ext cx="1343025" cy="342900"/>
        </a:xfrm>
        <a:prstGeom prst="wedgeRoundRectCallout">
          <a:avLst>
            <a:gd name="adj1" fmla="val 69148"/>
            <a:gd name="adj2" fmla="val -14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gepl. Besprechungstermin mit Erstprüfer </a:t>
          </a:r>
          <a:endParaRPr lang="de-DE"/>
        </a:p>
      </xdr:txBody>
    </xdr:sp>
    <xdr:clientData/>
  </xdr:twoCellAnchor>
  <xdr:twoCellAnchor>
    <xdr:from>
      <xdr:col>2</xdr:col>
      <xdr:colOff>85725</xdr:colOff>
      <xdr:row>36</xdr:row>
      <xdr:rowOff>66675</xdr:rowOff>
    </xdr:from>
    <xdr:to>
      <xdr:col>4</xdr:col>
      <xdr:colOff>419100</xdr:colOff>
      <xdr:row>39</xdr:row>
      <xdr:rowOff>9525</xdr:rowOff>
    </xdr:to>
    <xdr:sp macro="" textlink="">
      <xdr:nvSpPr>
        <xdr:cNvPr id="38" name="AutoShape 4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2114550" y="7734300"/>
          <a:ext cx="1543050" cy="342900"/>
        </a:xfrm>
        <a:prstGeom prst="wedgeRoundRectCallout">
          <a:avLst>
            <a:gd name="adj1" fmla="val -91111"/>
            <a:gd name="adj2" fmla="val -6111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Planungsstand des Projektplans (Version, Datum)</a:t>
          </a:r>
          <a:endParaRPr lang="de-DE"/>
        </a:p>
      </xdr:txBody>
    </xdr:sp>
    <xdr:clientData/>
  </xdr:twoCellAnchor>
  <xdr:twoCellAnchor>
    <xdr:from>
      <xdr:col>3</xdr:col>
      <xdr:colOff>171450</xdr:colOff>
      <xdr:row>24</xdr:row>
      <xdr:rowOff>152400</xdr:rowOff>
    </xdr:from>
    <xdr:to>
      <xdr:col>5</xdr:col>
      <xdr:colOff>533400</xdr:colOff>
      <xdr:row>26</xdr:row>
      <xdr:rowOff>190500</xdr:rowOff>
    </xdr:to>
    <xdr:sp macro="" textlink="">
      <xdr:nvSpPr>
        <xdr:cNvPr id="39" name="AutoShape 4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2800350" y="5162550"/>
          <a:ext cx="1581150" cy="533400"/>
        </a:xfrm>
        <a:prstGeom prst="wedgeRoundRectCallout">
          <a:avLst>
            <a:gd name="adj1" fmla="val -74097"/>
            <a:gd name="adj2" fmla="val -14821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spontan + intuitiv </a:t>
          </a: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geschätzte Dauer des TP;</a:t>
          </a:r>
        </a:p>
        <a:p>
          <a:pPr algn="ctr" rtl="0">
            <a:defRPr sz="1000"/>
          </a:pP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kleinste Einheit = 0,5 Wochen</a:t>
          </a:r>
          <a:endParaRPr lang="de-DE"/>
        </a:p>
      </xdr:txBody>
    </xdr:sp>
    <xdr:clientData/>
  </xdr:twoCellAnchor>
  <xdr:twoCellAnchor>
    <xdr:from>
      <xdr:col>0</xdr:col>
      <xdr:colOff>409575</xdr:colOff>
      <xdr:row>0</xdr:row>
      <xdr:rowOff>66675</xdr:rowOff>
    </xdr:from>
    <xdr:to>
      <xdr:col>15</xdr:col>
      <xdr:colOff>238125</xdr:colOff>
      <xdr:row>1</xdr:row>
      <xdr:rowOff>333375</xdr:rowOff>
    </xdr:to>
    <xdr:sp macro="" textlink="">
      <xdr:nvSpPr>
        <xdr:cNvPr id="40" name="AutoShape 4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409575" y="66675"/>
          <a:ext cx="9772650" cy="400050"/>
        </a:xfrm>
        <a:prstGeom prst="wedgeRoundRectCallout">
          <a:avLst>
            <a:gd name="adj1" fmla="val -10037"/>
            <a:gd name="adj2" fmla="val 3095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de-DE" sz="1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Projektplan-Muster für eine Projektarbeit (PA) / Bachelor Thesis (BT) / Diplomarbeit (DA) / Master Thesis (MT)</a:t>
          </a:r>
          <a:endParaRPr lang="de-DE"/>
        </a:p>
      </xdr:txBody>
    </xdr:sp>
    <xdr:clientData/>
  </xdr:twoCellAnchor>
  <xdr:twoCellAnchor>
    <xdr:from>
      <xdr:col>13</xdr:col>
      <xdr:colOff>361950</xdr:colOff>
      <xdr:row>6</xdr:row>
      <xdr:rowOff>104775</xdr:rowOff>
    </xdr:from>
    <xdr:to>
      <xdr:col>15</xdr:col>
      <xdr:colOff>495300</xdr:colOff>
      <xdr:row>8</xdr:row>
      <xdr:rowOff>161925</xdr:rowOff>
    </xdr:to>
    <xdr:sp macro="" textlink="">
      <xdr:nvSpPr>
        <xdr:cNvPr id="41" name="Text Box 44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086850" y="1152525"/>
          <a:ext cx="13525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cc:    -  Firmen-Betreuer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PJ-Partner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Erstprüfer     </a:t>
          </a:r>
          <a:endParaRPr lang="de-DE"/>
        </a:p>
      </xdr:txBody>
    </xdr:sp>
    <xdr:clientData/>
  </xdr:twoCellAnchor>
  <xdr:twoCellAnchor>
    <xdr:from>
      <xdr:col>11</xdr:col>
      <xdr:colOff>371475</xdr:colOff>
      <xdr:row>3</xdr:row>
      <xdr:rowOff>19050</xdr:rowOff>
    </xdr:from>
    <xdr:to>
      <xdr:col>13</xdr:col>
      <xdr:colOff>76200</xdr:colOff>
      <xdr:row>5</xdr:row>
      <xdr:rowOff>47625</xdr:rowOff>
    </xdr:to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7877175" y="666750"/>
          <a:ext cx="923925" cy="295275"/>
        </a:xfrm>
        <a:prstGeom prst="wedgeRoundRectCallout">
          <a:avLst>
            <a:gd name="adj1" fmla="val 101546"/>
            <a:gd name="adj2" fmla="val 12742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Empfänger 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des PJ-Plans</a:t>
          </a:r>
          <a:endParaRPr lang="de-DE"/>
        </a:p>
      </xdr:txBody>
    </xdr:sp>
    <xdr:clientData/>
  </xdr:twoCellAnchor>
  <xdr:twoCellAnchor>
    <xdr:from>
      <xdr:col>7</xdr:col>
      <xdr:colOff>276225</xdr:colOff>
      <xdr:row>18</xdr:row>
      <xdr:rowOff>228600</xdr:rowOff>
    </xdr:from>
    <xdr:to>
      <xdr:col>9</xdr:col>
      <xdr:colOff>180975</xdr:colOff>
      <xdr:row>20</xdr:row>
      <xdr:rowOff>200025</xdr:rowOff>
    </xdr:to>
    <xdr:sp macro="" textlink="">
      <xdr:nvSpPr>
        <xdr:cNvPr id="43" name="AutoShape 46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5343525" y="3752850"/>
          <a:ext cx="1123950" cy="466725"/>
        </a:xfrm>
        <a:prstGeom prst="wedgeRoundRectCallout">
          <a:avLst>
            <a:gd name="adj1" fmla="val -50847"/>
            <a:gd name="adj2" fmla="val -17653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 hier:  Bearbeitung wegen Auszeit unterbrechen</a:t>
          </a:r>
          <a:endParaRPr lang="de-DE"/>
        </a:p>
      </xdr:txBody>
    </xdr:sp>
    <xdr:clientData/>
  </xdr:twoCellAnchor>
  <xdr:twoCellAnchor>
    <xdr:from>
      <xdr:col>12</xdr:col>
      <xdr:colOff>447675</xdr:colOff>
      <xdr:row>23</xdr:row>
      <xdr:rowOff>85725</xdr:rowOff>
    </xdr:from>
    <xdr:to>
      <xdr:col>14</xdr:col>
      <xdr:colOff>352425</xdr:colOff>
      <xdr:row>25</xdr:row>
      <xdr:rowOff>57150</xdr:rowOff>
    </xdr:to>
    <xdr:sp macro="" textlink="">
      <xdr:nvSpPr>
        <xdr:cNvPr id="44" name="AutoShape 4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8562975" y="4848225"/>
          <a:ext cx="1123950" cy="466725"/>
        </a:xfrm>
        <a:prstGeom prst="wedgeRoundRectCallout">
          <a:avLst>
            <a:gd name="adj1" fmla="val -65255"/>
            <a:gd name="adj2" fmla="val 11938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 hier:  Bearbeitung trotz Feiertage fortführen</a:t>
          </a:r>
          <a:endParaRPr lang="de-DE"/>
        </a:p>
      </xdr:txBody>
    </xdr:sp>
    <xdr:clientData/>
  </xdr:twoCellAnchor>
  <xdr:twoCellAnchor>
    <xdr:from>
      <xdr:col>9</xdr:col>
      <xdr:colOff>342900</xdr:colOff>
      <xdr:row>5</xdr:row>
      <xdr:rowOff>28575</xdr:rowOff>
    </xdr:from>
    <xdr:to>
      <xdr:col>9</xdr:col>
      <xdr:colOff>552450</xdr:colOff>
      <xdr:row>6</xdr:row>
      <xdr:rowOff>104775</xdr:rowOff>
    </xdr:to>
    <xdr:sp macro="" textlink="">
      <xdr:nvSpPr>
        <xdr:cNvPr id="45" name="AutoShape 48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6629400" y="942975"/>
          <a:ext cx="209550" cy="209550"/>
        </a:xfrm>
        <a:prstGeom prst="wedgeEllipseCallout">
          <a:avLst>
            <a:gd name="adj1" fmla="val -36366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</a:t>
          </a:r>
          <a:endParaRPr lang="de-DE"/>
        </a:p>
      </xdr:txBody>
    </xdr:sp>
    <xdr:clientData/>
  </xdr:twoCellAnchor>
  <xdr:twoCellAnchor>
    <xdr:from>
      <xdr:col>0</xdr:col>
      <xdr:colOff>85725</xdr:colOff>
      <xdr:row>3</xdr:row>
      <xdr:rowOff>114300</xdr:rowOff>
    </xdr:from>
    <xdr:to>
      <xdr:col>0</xdr:col>
      <xdr:colOff>295275</xdr:colOff>
      <xdr:row>5</xdr:row>
      <xdr:rowOff>57150</xdr:rowOff>
    </xdr:to>
    <xdr:sp macro="" textlink="">
      <xdr:nvSpPr>
        <xdr:cNvPr id="46" name="AutoShape 4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85725" y="762000"/>
          <a:ext cx="209550" cy="209550"/>
        </a:xfrm>
        <a:prstGeom prst="wedgeEllipseCallout">
          <a:avLst>
            <a:gd name="adj1" fmla="val 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13</xdr:col>
      <xdr:colOff>485775</xdr:colOff>
      <xdr:row>4</xdr:row>
      <xdr:rowOff>76200</xdr:rowOff>
    </xdr:from>
    <xdr:to>
      <xdr:col>14</xdr:col>
      <xdr:colOff>85725</xdr:colOff>
      <xdr:row>6</xdr:row>
      <xdr:rowOff>19050</xdr:rowOff>
    </xdr:to>
    <xdr:sp macro="" textlink="">
      <xdr:nvSpPr>
        <xdr:cNvPr id="47" name="AutoShape 50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9210675" y="857250"/>
          <a:ext cx="209550" cy="209550"/>
        </a:xfrm>
        <a:prstGeom prst="wedgeEllipseCallout">
          <a:avLst>
            <a:gd name="adj1" fmla="val 9093"/>
            <a:gd name="adj2" fmla="val 113634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</xdr:col>
      <xdr:colOff>19050</xdr:colOff>
      <xdr:row>10</xdr:row>
      <xdr:rowOff>9525</xdr:rowOff>
    </xdr:from>
    <xdr:to>
      <xdr:col>1</xdr:col>
      <xdr:colOff>228600</xdr:colOff>
      <xdr:row>11</xdr:row>
      <xdr:rowOff>76200</xdr:rowOff>
    </xdr:to>
    <xdr:sp macro="" textlink="">
      <xdr:nvSpPr>
        <xdr:cNvPr id="48" name="AutoShape 5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457200" y="1809750"/>
          <a:ext cx="209550" cy="209550"/>
        </a:xfrm>
        <a:prstGeom prst="wedgeEllipseCallout">
          <a:avLst>
            <a:gd name="adj1" fmla="val 4546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3</a:t>
          </a:r>
          <a:endParaRPr lang="de-DE"/>
        </a:p>
      </xdr:txBody>
    </xdr:sp>
    <xdr:clientData/>
  </xdr:twoCellAnchor>
  <xdr:twoCellAnchor>
    <xdr:from>
      <xdr:col>2</xdr:col>
      <xdr:colOff>85725</xdr:colOff>
      <xdr:row>8</xdr:row>
      <xdr:rowOff>104775</xdr:rowOff>
    </xdr:from>
    <xdr:to>
      <xdr:col>2</xdr:col>
      <xdr:colOff>295275</xdr:colOff>
      <xdr:row>9</xdr:row>
      <xdr:rowOff>123825</xdr:rowOff>
    </xdr:to>
    <xdr:sp macro="" textlink="">
      <xdr:nvSpPr>
        <xdr:cNvPr id="49" name="AutoShape 5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2114550" y="1571625"/>
          <a:ext cx="209550" cy="209550"/>
        </a:xfrm>
        <a:prstGeom prst="wedgeEllipseCallout">
          <a:avLst>
            <a:gd name="adj1" fmla="val 90907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5</a:t>
          </a:r>
          <a:endParaRPr lang="de-DE"/>
        </a:p>
      </xdr:txBody>
    </xdr:sp>
    <xdr:clientData/>
  </xdr:twoCellAnchor>
  <xdr:twoCellAnchor>
    <xdr:from>
      <xdr:col>1</xdr:col>
      <xdr:colOff>1285875</xdr:colOff>
      <xdr:row>11</xdr:row>
      <xdr:rowOff>9525</xdr:rowOff>
    </xdr:from>
    <xdr:to>
      <xdr:col>1</xdr:col>
      <xdr:colOff>1495425</xdr:colOff>
      <xdr:row>12</xdr:row>
      <xdr:rowOff>85725</xdr:rowOff>
    </xdr:to>
    <xdr:sp macro="" textlink="">
      <xdr:nvSpPr>
        <xdr:cNvPr id="50" name="AutoShape 53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1724025" y="1952625"/>
          <a:ext cx="209550" cy="209550"/>
        </a:xfrm>
        <a:prstGeom prst="wedgeEllipseCallout">
          <a:avLst>
            <a:gd name="adj1" fmla="val 159093"/>
            <a:gd name="adj2" fmla="val 81819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4</a:t>
          </a:r>
          <a:endParaRPr lang="de-DE"/>
        </a:p>
      </xdr:txBody>
    </xdr:sp>
    <xdr:clientData/>
  </xdr:twoCellAnchor>
  <xdr:twoCellAnchor>
    <xdr:from>
      <xdr:col>11</xdr:col>
      <xdr:colOff>523875</xdr:colOff>
      <xdr:row>11</xdr:row>
      <xdr:rowOff>95250</xdr:rowOff>
    </xdr:from>
    <xdr:to>
      <xdr:col>12</xdr:col>
      <xdr:colOff>123825</xdr:colOff>
      <xdr:row>12</xdr:row>
      <xdr:rowOff>171450</xdr:rowOff>
    </xdr:to>
    <xdr:sp macro="" textlink="">
      <xdr:nvSpPr>
        <xdr:cNvPr id="51" name="AutoShape 5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8029575" y="2038350"/>
          <a:ext cx="209550" cy="209550"/>
        </a:xfrm>
        <a:prstGeom prst="wedgeEllipseCallout">
          <a:avLst>
            <a:gd name="adj1" fmla="val 127273"/>
            <a:gd name="adj2" fmla="val 10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6</a:t>
          </a:r>
          <a:endParaRPr lang="de-DE"/>
        </a:p>
      </xdr:txBody>
    </xdr:sp>
    <xdr:clientData/>
  </xdr:twoCellAnchor>
  <xdr:twoCellAnchor>
    <xdr:from>
      <xdr:col>5</xdr:col>
      <xdr:colOff>504825</xdr:colOff>
      <xdr:row>12</xdr:row>
      <xdr:rowOff>9525</xdr:rowOff>
    </xdr:from>
    <xdr:to>
      <xdr:col>6</xdr:col>
      <xdr:colOff>104775</xdr:colOff>
      <xdr:row>13</xdr:row>
      <xdr:rowOff>9525</xdr:rowOff>
    </xdr:to>
    <xdr:sp macro="" textlink="">
      <xdr:nvSpPr>
        <xdr:cNvPr id="52" name="AutoShape 5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4352925" y="2085975"/>
          <a:ext cx="209550" cy="209550"/>
        </a:xfrm>
        <a:prstGeom prst="wedgeEllipseCallout">
          <a:avLst>
            <a:gd name="adj1" fmla="val -218181"/>
            <a:gd name="adj2" fmla="val 15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</a:t>
          </a:r>
          <a:endParaRPr lang="de-DE"/>
        </a:p>
      </xdr:txBody>
    </xdr:sp>
    <xdr:clientData/>
  </xdr:twoCellAnchor>
  <xdr:twoCellAnchor>
    <xdr:from>
      <xdr:col>13</xdr:col>
      <xdr:colOff>600075</xdr:colOff>
      <xdr:row>11</xdr:row>
      <xdr:rowOff>85725</xdr:rowOff>
    </xdr:from>
    <xdr:to>
      <xdr:col>14</xdr:col>
      <xdr:colOff>200025</xdr:colOff>
      <xdr:row>12</xdr:row>
      <xdr:rowOff>161925</xdr:rowOff>
    </xdr:to>
    <xdr:sp macro="" textlink="">
      <xdr:nvSpPr>
        <xdr:cNvPr id="53" name="AutoShape 5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9324975" y="2028825"/>
          <a:ext cx="209550" cy="209550"/>
        </a:xfrm>
        <a:prstGeom prst="wedgeEllipseCallout">
          <a:avLst>
            <a:gd name="adj1" fmla="val 159093"/>
            <a:gd name="adj2" fmla="val 154546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8</a:t>
          </a:r>
          <a:endParaRPr lang="de-DE"/>
        </a:p>
      </xdr:txBody>
    </xdr:sp>
    <xdr:clientData/>
  </xdr:twoCellAnchor>
  <xdr:twoCellAnchor>
    <xdr:from>
      <xdr:col>8</xdr:col>
      <xdr:colOff>542925</xdr:colOff>
      <xdr:row>11</xdr:row>
      <xdr:rowOff>76200</xdr:rowOff>
    </xdr:from>
    <xdr:to>
      <xdr:col>9</xdr:col>
      <xdr:colOff>142875</xdr:colOff>
      <xdr:row>12</xdr:row>
      <xdr:rowOff>152400</xdr:rowOff>
    </xdr:to>
    <xdr:sp macro="" textlink="">
      <xdr:nvSpPr>
        <xdr:cNvPr id="54" name="AutoShape 57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6219825" y="2019300"/>
          <a:ext cx="209550" cy="209550"/>
        </a:xfrm>
        <a:prstGeom prst="wedgeEllipseCallout">
          <a:avLst>
            <a:gd name="adj1" fmla="val 1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9</a:t>
          </a:r>
          <a:endParaRPr lang="de-DE"/>
        </a:p>
      </xdr:txBody>
    </xdr:sp>
    <xdr:clientData/>
  </xdr:twoCellAnchor>
  <xdr:twoCellAnchor>
    <xdr:from>
      <xdr:col>4</xdr:col>
      <xdr:colOff>152400</xdr:colOff>
      <xdr:row>32</xdr:row>
      <xdr:rowOff>209550</xdr:rowOff>
    </xdr:from>
    <xdr:to>
      <xdr:col>4</xdr:col>
      <xdr:colOff>428625</xdr:colOff>
      <xdr:row>33</xdr:row>
      <xdr:rowOff>171450</xdr:rowOff>
    </xdr:to>
    <xdr:sp macro="" textlink="">
      <xdr:nvSpPr>
        <xdr:cNvPr id="55" name="AutoShape 58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3390900" y="6991350"/>
          <a:ext cx="276225" cy="209550"/>
        </a:xfrm>
        <a:prstGeom prst="wedgeEllipseCallout">
          <a:avLst>
            <a:gd name="adj1" fmla="val 29310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10v</a:t>
          </a:r>
          <a:endParaRPr lang="de-DE"/>
        </a:p>
      </xdr:txBody>
    </xdr:sp>
    <xdr:clientData/>
  </xdr:twoCellAnchor>
  <xdr:twoCellAnchor>
    <xdr:from>
      <xdr:col>1</xdr:col>
      <xdr:colOff>1228725</xdr:colOff>
      <xdr:row>34</xdr:row>
      <xdr:rowOff>9525</xdr:rowOff>
    </xdr:from>
    <xdr:to>
      <xdr:col>1</xdr:col>
      <xdr:colOff>1504950</xdr:colOff>
      <xdr:row>34</xdr:row>
      <xdr:rowOff>219075</xdr:rowOff>
    </xdr:to>
    <xdr:sp macro="" textlink="">
      <xdr:nvSpPr>
        <xdr:cNvPr id="56" name="AutoShape 59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666875" y="7286625"/>
          <a:ext cx="276225" cy="209550"/>
        </a:xfrm>
        <a:prstGeom prst="wedgeEllipseCallout">
          <a:avLst>
            <a:gd name="adj1" fmla="val -212069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11v</a:t>
          </a:r>
          <a:endParaRPr lang="de-D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38100</xdr:rowOff>
    </xdr:from>
    <xdr:to>
      <xdr:col>8</xdr:col>
      <xdr:colOff>247650</xdr:colOff>
      <xdr:row>16</xdr:row>
      <xdr:rowOff>209550</xdr:rowOff>
    </xdr:to>
    <xdr:sp macro="" textlink="">
      <xdr:nvSpPr>
        <xdr:cNvPr id="2" name="Rectangle 1" descr="10%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4972050" y="3067050"/>
          <a:ext cx="10953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142875</xdr:colOff>
      <xdr:row>13</xdr:row>
      <xdr:rowOff>47625</xdr:rowOff>
    </xdr:from>
    <xdr:to>
      <xdr:col>7</xdr:col>
      <xdr:colOff>361950</xdr:colOff>
      <xdr:row>32</xdr:row>
      <xdr:rowOff>57150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535305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9</xdr:col>
      <xdr:colOff>19050</xdr:colOff>
      <xdr:row>13</xdr:row>
      <xdr:rowOff>95250</xdr:rowOff>
    </xdr:from>
    <xdr:to>
      <xdr:col>9</xdr:col>
      <xdr:colOff>219075</xdr:colOff>
      <xdr:row>16</xdr:row>
      <xdr:rowOff>28575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6448425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Enrolement</a:t>
          </a:r>
          <a:endParaRPr lang="de-DE"/>
        </a:p>
      </xdr:txBody>
    </xdr:sp>
    <xdr:clientData/>
  </xdr:twoCellAnchor>
  <xdr:twoCellAnchor>
    <xdr:from>
      <xdr:col>14</xdr:col>
      <xdr:colOff>457200</xdr:colOff>
      <xdr:row>13</xdr:row>
      <xdr:rowOff>47625</xdr:rowOff>
    </xdr:from>
    <xdr:to>
      <xdr:col>14</xdr:col>
      <xdr:colOff>457200</xdr:colOff>
      <xdr:row>33</xdr:row>
      <xdr:rowOff>28575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9934575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13</xdr:row>
      <xdr:rowOff>47625</xdr:rowOff>
    </xdr:from>
    <xdr:to>
      <xdr:col>9</xdr:col>
      <xdr:colOff>266700</xdr:colOff>
      <xdr:row>33</xdr:row>
      <xdr:rowOff>28575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6696075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266700</xdr:colOff>
      <xdr:row>34</xdr:row>
      <xdr:rowOff>57150</xdr:rowOff>
    </xdr:from>
    <xdr:to>
      <xdr:col>4</xdr:col>
      <xdr:colOff>447675</xdr:colOff>
      <xdr:row>34</xdr:row>
      <xdr:rowOff>180975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6480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361950</xdr:colOff>
      <xdr:row>34</xdr:row>
      <xdr:rowOff>57150</xdr:rowOff>
    </xdr:from>
    <xdr:to>
      <xdr:col>6</xdr:col>
      <xdr:colOff>542925</xdr:colOff>
      <xdr:row>34</xdr:row>
      <xdr:rowOff>180975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4962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34</xdr:row>
      <xdr:rowOff>57150</xdr:rowOff>
    </xdr:from>
    <xdr:to>
      <xdr:col>8</xdr:col>
      <xdr:colOff>466725</xdr:colOff>
      <xdr:row>34</xdr:row>
      <xdr:rowOff>180975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6105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34</xdr:row>
      <xdr:rowOff>57150</xdr:rowOff>
    </xdr:from>
    <xdr:to>
      <xdr:col>10</xdr:col>
      <xdr:colOff>371475</xdr:colOff>
      <xdr:row>34</xdr:row>
      <xdr:rowOff>180975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72294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400050</xdr:colOff>
      <xdr:row>34</xdr:row>
      <xdr:rowOff>57150</xdr:rowOff>
    </xdr:from>
    <xdr:to>
      <xdr:col>12</xdr:col>
      <xdr:colOff>581025</xdr:colOff>
      <xdr:row>34</xdr:row>
      <xdr:rowOff>180975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86582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209550</xdr:colOff>
      <xdr:row>13</xdr:row>
      <xdr:rowOff>47625</xdr:rowOff>
    </xdr:from>
    <xdr:to>
      <xdr:col>10</xdr:col>
      <xdr:colOff>428625</xdr:colOff>
      <xdr:row>32</xdr:row>
      <xdr:rowOff>57150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724852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12</xdr:col>
      <xdr:colOff>161925</xdr:colOff>
      <xdr:row>13</xdr:row>
      <xdr:rowOff>47625</xdr:rowOff>
    </xdr:from>
    <xdr:to>
      <xdr:col>12</xdr:col>
      <xdr:colOff>381000</xdr:colOff>
      <xdr:row>32</xdr:row>
      <xdr:rowOff>57150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842010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14</xdr:col>
      <xdr:colOff>200025</xdr:colOff>
      <xdr:row>13</xdr:row>
      <xdr:rowOff>95250</xdr:rowOff>
    </xdr:from>
    <xdr:to>
      <xdr:col>14</xdr:col>
      <xdr:colOff>400050</xdr:colOff>
      <xdr:row>16</xdr:row>
      <xdr:rowOff>28575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9677400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Submission</a:t>
          </a:r>
          <a:endParaRPr lang="de-DE"/>
        </a:p>
      </xdr:txBody>
    </xdr:sp>
    <xdr:clientData/>
  </xdr:twoCellAnchor>
  <xdr:twoCellAnchor>
    <xdr:from>
      <xdr:col>3</xdr:col>
      <xdr:colOff>19050</xdr:colOff>
      <xdr:row>13</xdr:row>
      <xdr:rowOff>38100</xdr:rowOff>
    </xdr:from>
    <xdr:to>
      <xdr:col>5</xdr:col>
      <xdr:colOff>247650</xdr:colOff>
      <xdr:row>13</xdr:row>
      <xdr:rowOff>209550</xdr:rowOff>
    </xdr:to>
    <xdr:sp macro="" textlink="">
      <xdr:nvSpPr>
        <xdr:cNvPr id="15" name="Rectangle 14" descr="10%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790825" y="2324100"/>
          <a:ext cx="1447800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14</xdr:row>
      <xdr:rowOff>38100</xdr:rowOff>
    </xdr:from>
    <xdr:to>
      <xdr:col>5</xdr:col>
      <xdr:colOff>342900</xdr:colOff>
      <xdr:row>14</xdr:row>
      <xdr:rowOff>209550</xdr:rowOff>
    </xdr:to>
    <xdr:sp macro="" textlink="">
      <xdr:nvSpPr>
        <xdr:cNvPr id="16" name="Rectangle 15" descr="10%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695700" y="2571750"/>
          <a:ext cx="6381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495300</xdr:colOff>
      <xdr:row>26</xdr:row>
      <xdr:rowOff>0</xdr:rowOff>
    </xdr:from>
    <xdr:to>
      <xdr:col>13</xdr:col>
      <xdr:colOff>47625</xdr:colOff>
      <xdr:row>27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>
          <a:grpSpLocks/>
        </xdr:cNvGrpSpPr>
      </xdr:nvGrpSpPr>
      <xdr:grpSpPr bwMode="auto">
        <a:xfrm>
          <a:off x="8750300" y="5067300"/>
          <a:ext cx="2028825" cy="190500"/>
          <a:chOff x="691" y="481"/>
          <a:chExt cx="144" cy="27"/>
        </a:xfrm>
      </xdr:grpSpPr>
      <xdr:sp macro="" textlink="">
        <xdr:nvSpPr>
          <xdr:cNvPr id="18" name="Rectangle 17" descr="10%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747" y="487"/>
            <a:ext cx="88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Rectangle 18" descr="10%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691" y="487"/>
            <a:ext cx="43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>
            <a:spLocks/>
          </xdr:cNvSpPr>
        </xdr:nvSpPr>
        <xdr:spPr bwMode="auto">
          <a:xfrm>
            <a:off x="728" y="481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>
            <a:spLocks/>
          </xdr:cNvSpPr>
        </xdr:nvSpPr>
        <xdr:spPr bwMode="auto">
          <a:xfrm>
            <a:off x="741" y="482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28575</xdr:colOff>
      <xdr:row>13</xdr:row>
      <xdr:rowOff>114300</xdr:rowOff>
    </xdr:from>
    <xdr:to>
      <xdr:col>4</xdr:col>
      <xdr:colOff>285750</xdr:colOff>
      <xdr:row>13</xdr:row>
      <xdr:rowOff>209550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800350" y="2400300"/>
          <a:ext cx="8667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6</xdr:row>
      <xdr:rowOff>38100</xdr:rowOff>
    </xdr:from>
    <xdr:to>
      <xdr:col>1</xdr:col>
      <xdr:colOff>885825</xdr:colOff>
      <xdr:row>8</xdr:row>
      <xdr:rowOff>95250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66675" y="1085850"/>
          <a:ext cx="1257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Hermann Meyer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1112569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7. Sem   PVT</a:t>
          </a:r>
          <a:endParaRPr lang="de-DE"/>
        </a:p>
      </xdr:txBody>
    </xdr:sp>
    <xdr:clientData/>
  </xdr:twoCellAnchor>
  <xdr:twoCellAnchor>
    <xdr:from>
      <xdr:col>0</xdr:col>
      <xdr:colOff>66675</xdr:colOff>
      <xdr:row>35</xdr:row>
      <xdr:rowOff>114300</xdr:rowOff>
    </xdr:from>
    <xdr:to>
      <xdr:col>1</xdr:col>
      <xdr:colOff>971550</xdr:colOff>
      <xdr:row>37</xdr:row>
      <xdr:rowOff>0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66675" y="7639050"/>
          <a:ext cx="13430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Version:  1.0 / 29.02.2025</a:t>
          </a:r>
          <a:endParaRPr lang="de-DE"/>
        </a:p>
      </xdr:txBody>
    </xdr:sp>
    <xdr:clientData/>
  </xdr:twoCellAnchor>
  <xdr:twoCellAnchor>
    <xdr:from>
      <xdr:col>1</xdr:col>
      <xdr:colOff>914400</xdr:colOff>
      <xdr:row>3</xdr:row>
      <xdr:rowOff>19050</xdr:rowOff>
    </xdr:from>
    <xdr:to>
      <xdr:col>3</xdr:col>
      <xdr:colOff>171450</xdr:colOff>
      <xdr:row>5</xdr:row>
      <xdr:rowOff>47625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1352550" y="666750"/>
          <a:ext cx="1590675" cy="295275"/>
        </a:xfrm>
        <a:prstGeom prst="wedgeRoundRectCallout">
          <a:avLst>
            <a:gd name="adj1" fmla="val -57736"/>
            <a:gd name="adj2" fmla="val 11451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Personal Data</a:t>
          </a:r>
          <a:endParaRPr lang="de-DE"/>
        </a:p>
      </xdr:txBody>
    </xdr:sp>
    <xdr:clientData/>
  </xdr:twoCellAnchor>
  <xdr:twoCellAnchor>
    <xdr:from>
      <xdr:col>6</xdr:col>
      <xdr:colOff>228600</xdr:colOff>
      <xdr:row>3</xdr:row>
      <xdr:rowOff>19050</xdr:rowOff>
    </xdr:from>
    <xdr:to>
      <xdr:col>8</xdr:col>
      <xdr:colOff>38100</xdr:colOff>
      <xdr:row>5</xdr:row>
      <xdr:rowOff>47625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rrowheads="1"/>
        </xdr:cNvSpPr>
      </xdr:nvSpPr>
      <xdr:spPr bwMode="auto">
        <a:xfrm>
          <a:off x="4829175" y="666750"/>
          <a:ext cx="1028700" cy="295275"/>
        </a:xfrm>
        <a:prstGeom prst="wedgeRoundRectCallout">
          <a:avLst>
            <a:gd name="adj1" fmla="val 99074"/>
            <a:gd name="adj2" fmla="val 153227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Preliminary title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of thesis</a:t>
          </a:r>
          <a:endParaRPr lang="de-DE"/>
        </a:p>
      </xdr:txBody>
    </xdr:sp>
    <xdr:clientData/>
  </xdr:twoCellAnchor>
  <xdr:twoCellAnchor>
    <xdr:from>
      <xdr:col>1</xdr:col>
      <xdr:colOff>276225</xdr:colOff>
      <xdr:row>21</xdr:row>
      <xdr:rowOff>76200</xdr:rowOff>
    </xdr:from>
    <xdr:to>
      <xdr:col>1</xdr:col>
      <xdr:colOff>1247775</xdr:colOff>
      <xdr:row>23</xdr:row>
      <xdr:rowOff>76200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714375" y="4343400"/>
          <a:ext cx="971550" cy="495300"/>
        </a:xfrm>
        <a:prstGeom prst="wedgeRoundRectCallout">
          <a:avLst>
            <a:gd name="adj1" fmla="val -92157"/>
            <a:gd name="adj2" fmla="val -23461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SP's number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(10 - 20 SPs incl. Colloquium)</a:t>
          </a:r>
          <a:endParaRPr lang="de-DE"/>
        </a:p>
      </xdr:txBody>
    </xdr:sp>
    <xdr:clientData/>
  </xdr:twoCellAnchor>
  <xdr:twoCellAnchor>
    <xdr:from>
      <xdr:col>1</xdr:col>
      <xdr:colOff>523875</xdr:colOff>
      <xdr:row>16</xdr:row>
      <xdr:rowOff>85725</xdr:rowOff>
    </xdr:from>
    <xdr:to>
      <xdr:col>1</xdr:col>
      <xdr:colOff>1228725</xdr:colOff>
      <xdr:row>17</xdr:row>
      <xdr:rowOff>133350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962025" y="3114675"/>
          <a:ext cx="704850" cy="295275"/>
        </a:xfrm>
        <a:prstGeom prst="wedgeRoundRectCallout">
          <a:avLst>
            <a:gd name="adj1" fmla="val -70269"/>
            <a:gd name="adj2" fmla="val -25967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SP's title</a:t>
          </a:r>
          <a:endParaRPr lang="de-DE"/>
        </a:p>
      </xdr:txBody>
    </xdr:sp>
    <xdr:clientData/>
  </xdr:twoCellAnchor>
  <xdr:twoCellAnchor>
    <xdr:from>
      <xdr:col>4</xdr:col>
      <xdr:colOff>0</xdr:colOff>
      <xdr:row>3</xdr:row>
      <xdr:rowOff>19050</xdr:rowOff>
    </xdr:from>
    <xdr:to>
      <xdr:col>5</xdr:col>
      <xdr:colOff>419100</xdr:colOff>
      <xdr:row>5</xdr:row>
      <xdr:rowOff>95250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3381375" y="666750"/>
          <a:ext cx="1028700" cy="342900"/>
        </a:xfrm>
        <a:prstGeom prst="wedgeRoundRectCallout">
          <a:avLst>
            <a:gd name="adj1" fmla="val 87037"/>
            <a:gd name="adj2" fmla="val 29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Week of year</a:t>
          </a:r>
          <a:endParaRPr lang="de-DE"/>
        </a:p>
      </xdr:txBody>
    </xdr:sp>
    <xdr:clientData/>
  </xdr:twoCellAnchor>
  <xdr:twoCellAnchor>
    <xdr:from>
      <xdr:col>1</xdr:col>
      <xdr:colOff>1219200</xdr:colOff>
      <xdr:row>6</xdr:row>
      <xdr:rowOff>114300</xdr:rowOff>
    </xdr:from>
    <xdr:to>
      <xdr:col>4</xdr:col>
      <xdr:colOff>66675</xdr:colOff>
      <xdr:row>8</xdr:row>
      <xdr:rowOff>76200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1657350" y="1162050"/>
          <a:ext cx="1790700" cy="381000"/>
        </a:xfrm>
        <a:prstGeom prst="wedgeRoundRectCallout">
          <a:avLst>
            <a:gd name="adj1" fmla="val 75926"/>
            <a:gd name="adj2" fmla="val 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Weeks since start of project =&gt; duration</a:t>
          </a:r>
          <a:endParaRPr lang="de-DE"/>
        </a:p>
      </xdr:txBody>
    </xdr:sp>
    <xdr:clientData/>
  </xdr:twoCellAnchor>
  <xdr:twoCellAnchor>
    <xdr:from>
      <xdr:col>12</xdr:col>
      <xdr:colOff>381000</xdr:colOff>
      <xdr:row>19</xdr:row>
      <xdr:rowOff>200025</xdr:rowOff>
    </xdr:from>
    <xdr:to>
      <xdr:col>16</xdr:col>
      <xdr:colOff>38100</xdr:colOff>
      <xdr:row>21</xdr:row>
      <xdr:rowOff>76200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639175" y="3971925"/>
          <a:ext cx="2095500" cy="371475"/>
        </a:xfrm>
        <a:prstGeom prst="wedgeRoundRectCallout">
          <a:avLst>
            <a:gd name="adj1" fmla="val -53634"/>
            <a:gd name="adj2" fmla="val -1551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schedulable time outs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(causes: yourself, partners, examiner, ..)</a:t>
          </a:r>
          <a:endParaRPr lang="de-DE"/>
        </a:p>
      </xdr:txBody>
    </xdr:sp>
    <xdr:clientData/>
  </xdr:twoCellAnchor>
  <xdr:twoCellAnchor>
    <xdr:from>
      <xdr:col>9</xdr:col>
      <xdr:colOff>257175</xdr:colOff>
      <xdr:row>36</xdr:row>
      <xdr:rowOff>9525</xdr:rowOff>
    </xdr:from>
    <xdr:to>
      <xdr:col>12</xdr:col>
      <xdr:colOff>257175</xdr:colOff>
      <xdr:row>38</xdr:row>
      <xdr:rowOff>95250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6686550" y="7677150"/>
          <a:ext cx="1828800" cy="352425"/>
        </a:xfrm>
        <a:prstGeom prst="wedgeRoundRectCallout">
          <a:avLst>
            <a:gd name="adj1" fmla="val -48958"/>
            <a:gd name="adj2" fmla="val -17432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Date of enrolement = scheduled date of submission minus x months</a:t>
          </a:r>
          <a:endParaRPr lang="de-DE"/>
        </a:p>
      </xdr:txBody>
    </xdr:sp>
    <xdr:clientData/>
  </xdr:twoCellAnchor>
  <xdr:twoCellAnchor>
    <xdr:from>
      <xdr:col>12</xdr:col>
      <xdr:colOff>533400</xdr:colOff>
      <xdr:row>36</xdr:row>
      <xdr:rowOff>28575</xdr:rowOff>
    </xdr:from>
    <xdr:to>
      <xdr:col>14</xdr:col>
      <xdr:colOff>342900</xdr:colOff>
      <xdr:row>38</xdr:row>
      <xdr:rowOff>104775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91575" y="7696200"/>
          <a:ext cx="1028700" cy="342900"/>
        </a:xfrm>
        <a:prstGeom prst="wedgeRoundRectCallout">
          <a:avLst>
            <a:gd name="adj1" fmla="val 61111"/>
            <a:gd name="adj2" fmla="val -18055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date of submission</a:t>
          </a:r>
          <a:endParaRPr lang="de-DE"/>
        </a:p>
      </xdr:txBody>
    </xdr:sp>
    <xdr:clientData/>
  </xdr:twoCellAnchor>
  <xdr:twoCellAnchor>
    <xdr:from>
      <xdr:col>3</xdr:col>
      <xdr:colOff>333375</xdr:colOff>
      <xdr:row>19</xdr:row>
      <xdr:rowOff>200025</xdr:rowOff>
    </xdr:from>
    <xdr:to>
      <xdr:col>6</xdr:col>
      <xdr:colOff>533400</xdr:colOff>
      <xdr:row>21</xdr:row>
      <xdr:rowOff>171450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105150" y="3971925"/>
          <a:ext cx="2028825" cy="466725"/>
        </a:xfrm>
        <a:prstGeom prst="wedgeRoundRectCallout">
          <a:avLst>
            <a:gd name="adj1" fmla="val 47653"/>
            <a:gd name="adj2" fmla="val -22550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Length of bar = estimated duration; smallest unit = 0.5 week</a:t>
          </a:r>
          <a:endParaRPr lang="de-DE"/>
        </a:p>
      </xdr:txBody>
    </xdr:sp>
    <xdr:clientData/>
  </xdr:twoCellAnchor>
  <xdr:twoCellAnchor>
    <xdr:from>
      <xdr:col>3</xdr:col>
      <xdr:colOff>76200</xdr:colOff>
      <xdr:row>16</xdr:row>
      <xdr:rowOff>0</xdr:rowOff>
    </xdr:from>
    <xdr:to>
      <xdr:col>5</xdr:col>
      <xdr:colOff>581025</xdr:colOff>
      <xdr:row>18</xdr:row>
      <xdr:rowOff>0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2847975" y="3028950"/>
          <a:ext cx="1724025" cy="495300"/>
        </a:xfrm>
        <a:prstGeom prst="wedgeRoundRectCallout">
          <a:avLst>
            <a:gd name="adj1" fmla="val -29560"/>
            <a:gd name="adj2" fmla="val -16923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Actual state of SP's completion at time of corresponding meeting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(subjective estimation)</a:t>
          </a:r>
          <a:endParaRPr lang="de-DE"/>
        </a:p>
      </xdr:txBody>
    </xdr:sp>
    <xdr:clientData/>
  </xdr:twoCellAnchor>
  <xdr:twoCellAnchor>
    <xdr:from>
      <xdr:col>15</xdr:col>
      <xdr:colOff>371475</xdr:colOff>
      <xdr:row>34</xdr:row>
      <xdr:rowOff>57150</xdr:rowOff>
    </xdr:from>
    <xdr:to>
      <xdr:col>15</xdr:col>
      <xdr:colOff>552450</xdr:colOff>
      <xdr:row>34</xdr:row>
      <xdr:rowOff>180975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104584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590550</xdr:colOff>
      <xdr:row>36</xdr:row>
      <xdr:rowOff>38100</xdr:rowOff>
    </xdr:from>
    <xdr:to>
      <xdr:col>8</xdr:col>
      <xdr:colOff>104775</xdr:colOff>
      <xdr:row>38</xdr:row>
      <xdr:rowOff>114300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4581525" y="7705725"/>
          <a:ext cx="1343025" cy="342900"/>
        </a:xfrm>
        <a:prstGeom prst="wedgeRoundRectCallout">
          <a:avLst>
            <a:gd name="adj1" fmla="val 69148"/>
            <a:gd name="adj2" fmla="val -13611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meeting with first examiner</a:t>
          </a:r>
          <a:endParaRPr lang="de-DE"/>
        </a:p>
      </xdr:txBody>
    </xdr:sp>
    <xdr:clientData/>
  </xdr:twoCellAnchor>
  <xdr:twoCellAnchor>
    <xdr:from>
      <xdr:col>2</xdr:col>
      <xdr:colOff>114300</xdr:colOff>
      <xdr:row>36</xdr:row>
      <xdr:rowOff>19050</xdr:rowOff>
    </xdr:from>
    <xdr:to>
      <xdr:col>4</xdr:col>
      <xdr:colOff>447675</xdr:colOff>
      <xdr:row>38</xdr:row>
      <xdr:rowOff>95250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2286000" y="7686675"/>
          <a:ext cx="1543050" cy="342900"/>
        </a:xfrm>
        <a:prstGeom prst="wedgeRoundRectCallout">
          <a:avLst>
            <a:gd name="adj1" fmla="val -93208"/>
            <a:gd name="adj2" fmla="val -4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plan of (version / date)</a:t>
          </a:r>
          <a:endParaRPr lang="de-DE"/>
        </a:p>
      </xdr:txBody>
    </xdr:sp>
    <xdr:clientData/>
  </xdr:twoCellAnchor>
  <xdr:twoCellAnchor>
    <xdr:from>
      <xdr:col>3</xdr:col>
      <xdr:colOff>247650</xdr:colOff>
      <xdr:row>24</xdr:row>
      <xdr:rowOff>161925</xdr:rowOff>
    </xdr:from>
    <xdr:to>
      <xdr:col>6</xdr:col>
      <xdr:colOff>514350</xdr:colOff>
      <xdr:row>26</xdr:row>
      <xdr:rowOff>190500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3019425" y="5172075"/>
          <a:ext cx="2095500" cy="523875"/>
        </a:xfrm>
        <a:prstGeom prst="wedgeRoundRectCallout">
          <a:avLst>
            <a:gd name="adj1" fmla="val -71819"/>
            <a:gd name="adj2" fmla="val -15181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Duration of SP estimated in the beginning  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(spontaneously and  intuitivly)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smallest unit = 0,5 week</a:t>
          </a:r>
          <a:endParaRPr lang="de-DE"/>
        </a:p>
      </xdr:txBody>
    </xdr:sp>
    <xdr:clientData/>
  </xdr:twoCellAnchor>
  <xdr:twoCellAnchor>
    <xdr:from>
      <xdr:col>2</xdr:col>
      <xdr:colOff>638175</xdr:colOff>
      <xdr:row>0</xdr:row>
      <xdr:rowOff>66675</xdr:rowOff>
    </xdr:from>
    <xdr:to>
      <xdr:col>11</xdr:col>
      <xdr:colOff>104775</xdr:colOff>
      <xdr:row>1</xdr:row>
      <xdr:rowOff>304800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71775" y="66675"/>
          <a:ext cx="4981575" cy="371475"/>
        </a:xfrm>
        <a:prstGeom prst="wedgeRoundRectCallout">
          <a:avLst>
            <a:gd name="adj1" fmla="val -16106"/>
            <a:gd name="adj2" fmla="val 3718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de-DE" sz="1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Template for Project Plan of Master's Thesis</a:t>
          </a:r>
          <a:endParaRPr lang="de-DE"/>
        </a:p>
      </xdr:txBody>
    </xdr:sp>
    <xdr:clientData/>
  </xdr:twoCellAnchor>
  <xdr:twoCellAnchor>
    <xdr:from>
      <xdr:col>13</xdr:col>
      <xdr:colOff>85725</xdr:colOff>
      <xdr:row>6</xdr:row>
      <xdr:rowOff>104775</xdr:rowOff>
    </xdr:from>
    <xdr:to>
      <xdr:col>16</xdr:col>
      <xdr:colOff>180975</xdr:colOff>
      <xdr:row>8</xdr:row>
      <xdr:rowOff>161925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8953500" y="1152525"/>
          <a:ext cx="19240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cc:    -  Contact person in company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Project partner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First examiner     </a:t>
          </a:r>
          <a:endParaRPr lang="de-DE"/>
        </a:p>
      </xdr:txBody>
    </xdr:sp>
    <xdr:clientData/>
  </xdr:twoCellAnchor>
  <xdr:twoCellAnchor>
    <xdr:from>
      <xdr:col>11</xdr:col>
      <xdr:colOff>371475</xdr:colOff>
      <xdr:row>3</xdr:row>
      <xdr:rowOff>19050</xdr:rowOff>
    </xdr:from>
    <xdr:to>
      <xdr:col>13</xdr:col>
      <xdr:colOff>76200</xdr:colOff>
      <xdr:row>5</xdr:row>
      <xdr:rowOff>47625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020050" y="666750"/>
          <a:ext cx="923925" cy="295275"/>
        </a:xfrm>
        <a:prstGeom prst="wedgeRoundRectCallout">
          <a:avLst>
            <a:gd name="adj1" fmla="val 101546"/>
            <a:gd name="adj2" fmla="val 12742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Receivers of  this project plan</a:t>
          </a:r>
          <a:endParaRPr lang="de-DE"/>
        </a:p>
      </xdr:txBody>
    </xdr:sp>
    <xdr:clientData/>
  </xdr:twoCellAnchor>
  <xdr:twoCellAnchor>
    <xdr:from>
      <xdr:col>7</xdr:col>
      <xdr:colOff>276225</xdr:colOff>
      <xdr:row>18</xdr:row>
      <xdr:rowOff>228600</xdr:rowOff>
    </xdr:from>
    <xdr:to>
      <xdr:col>9</xdr:col>
      <xdr:colOff>180975</xdr:colOff>
      <xdr:row>20</xdr:row>
      <xdr:rowOff>200025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486400" y="3752850"/>
          <a:ext cx="1123950" cy="466725"/>
        </a:xfrm>
        <a:prstGeom prst="wedgeRoundRectCallout">
          <a:avLst>
            <a:gd name="adj1" fmla="val -50847"/>
            <a:gd name="adj2" fmla="val -17653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Scheduled interruption of work</a:t>
          </a:r>
          <a:endParaRPr lang="de-DE"/>
        </a:p>
      </xdr:txBody>
    </xdr:sp>
    <xdr:clientData/>
  </xdr:twoCellAnchor>
  <xdr:twoCellAnchor>
    <xdr:from>
      <xdr:col>12</xdr:col>
      <xdr:colOff>447675</xdr:colOff>
      <xdr:row>23</xdr:row>
      <xdr:rowOff>85725</xdr:rowOff>
    </xdr:from>
    <xdr:to>
      <xdr:col>14</xdr:col>
      <xdr:colOff>352425</xdr:colOff>
      <xdr:row>25</xdr:row>
      <xdr:rowOff>57150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8705850" y="4848225"/>
          <a:ext cx="1123950" cy="466725"/>
        </a:xfrm>
        <a:prstGeom prst="wedgeRoundRectCallout">
          <a:avLst>
            <a:gd name="adj1" fmla="val -65255"/>
            <a:gd name="adj2" fmla="val 11938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to continue work despite of holiday</a:t>
          </a:r>
          <a:endParaRPr lang="de-DE"/>
        </a:p>
      </xdr:txBody>
    </xdr:sp>
    <xdr:clientData/>
  </xdr:twoCellAnchor>
  <xdr:twoCellAnchor>
    <xdr:from>
      <xdr:col>15</xdr:col>
      <xdr:colOff>400050</xdr:colOff>
      <xdr:row>29</xdr:row>
      <xdr:rowOff>38100</xdr:rowOff>
    </xdr:from>
    <xdr:to>
      <xdr:col>15</xdr:col>
      <xdr:colOff>533400</xdr:colOff>
      <xdr:row>29</xdr:row>
      <xdr:rowOff>200025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10487025" y="6286500"/>
          <a:ext cx="1333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38100</xdr:colOff>
      <xdr:row>28</xdr:row>
      <xdr:rowOff>0</xdr:rowOff>
    </xdr:from>
    <xdr:to>
      <xdr:col>14</xdr:col>
      <xdr:colOff>257175</xdr:colOff>
      <xdr:row>28</xdr:row>
      <xdr:rowOff>190500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rrowheads="1"/>
        </xdr:cNvSpPr>
      </xdr:nvSpPr>
      <xdr:spPr bwMode="auto">
        <a:xfrm>
          <a:off x="8905875" y="6000750"/>
          <a:ext cx="828675" cy="190500"/>
        </a:xfrm>
        <a:prstGeom prst="wedgeRoundRectCallout">
          <a:avLst>
            <a:gd name="adj1" fmla="val 150000"/>
            <a:gd name="adj2" fmla="val 15000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Colloquium</a:t>
          </a:r>
          <a:endParaRPr lang="de-DE"/>
        </a:p>
      </xdr:txBody>
    </xdr:sp>
    <xdr:clientData/>
  </xdr:twoCellAnchor>
  <xdr:twoCellAnchor>
    <xdr:from>
      <xdr:col>9</xdr:col>
      <xdr:colOff>200025</xdr:colOff>
      <xdr:row>5</xdr:row>
      <xdr:rowOff>28575</xdr:rowOff>
    </xdr:from>
    <xdr:to>
      <xdr:col>9</xdr:col>
      <xdr:colOff>409575</xdr:colOff>
      <xdr:row>6</xdr:row>
      <xdr:rowOff>104775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rrowheads="1"/>
        </xdr:cNvSpPr>
      </xdr:nvSpPr>
      <xdr:spPr bwMode="auto">
        <a:xfrm>
          <a:off x="6629400" y="942975"/>
          <a:ext cx="209550" cy="209550"/>
        </a:xfrm>
        <a:prstGeom prst="wedgeEllipseCallout">
          <a:avLst>
            <a:gd name="adj1" fmla="val -36366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</a:t>
          </a:r>
          <a:endParaRPr lang="de-DE"/>
        </a:p>
      </xdr:txBody>
    </xdr:sp>
    <xdr:clientData/>
  </xdr:twoCellAnchor>
  <xdr:twoCellAnchor>
    <xdr:from>
      <xdr:col>0</xdr:col>
      <xdr:colOff>85725</xdr:colOff>
      <xdr:row>3</xdr:row>
      <xdr:rowOff>114300</xdr:rowOff>
    </xdr:from>
    <xdr:to>
      <xdr:col>0</xdr:col>
      <xdr:colOff>295275</xdr:colOff>
      <xdr:row>5</xdr:row>
      <xdr:rowOff>57150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rrowheads="1"/>
        </xdr:cNvSpPr>
      </xdr:nvSpPr>
      <xdr:spPr bwMode="auto">
        <a:xfrm>
          <a:off x="85725" y="762000"/>
          <a:ext cx="209550" cy="209550"/>
        </a:xfrm>
        <a:prstGeom prst="wedgeEllipseCallout">
          <a:avLst>
            <a:gd name="adj1" fmla="val 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13</xdr:col>
      <xdr:colOff>342900</xdr:colOff>
      <xdr:row>4</xdr:row>
      <xdr:rowOff>76200</xdr:rowOff>
    </xdr:from>
    <xdr:to>
      <xdr:col>13</xdr:col>
      <xdr:colOff>552450</xdr:colOff>
      <xdr:row>6</xdr:row>
      <xdr:rowOff>19050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rrowheads="1"/>
        </xdr:cNvSpPr>
      </xdr:nvSpPr>
      <xdr:spPr bwMode="auto">
        <a:xfrm>
          <a:off x="9210675" y="857250"/>
          <a:ext cx="209550" cy="209550"/>
        </a:xfrm>
        <a:prstGeom prst="wedgeEllipseCallout">
          <a:avLst>
            <a:gd name="adj1" fmla="val 9093"/>
            <a:gd name="adj2" fmla="val 113634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</xdr:col>
      <xdr:colOff>19050</xdr:colOff>
      <xdr:row>10</xdr:row>
      <xdr:rowOff>9525</xdr:rowOff>
    </xdr:from>
    <xdr:to>
      <xdr:col>1</xdr:col>
      <xdr:colOff>228600</xdr:colOff>
      <xdr:row>11</xdr:row>
      <xdr:rowOff>76200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457200" y="1809750"/>
          <a:ext cx="209550" cy="209550"/>
        </a:xfrm>
        <a:prstGeom prst="wedgeEllipseCallout">
          <a:avLst>
            <a:gd name="adj1" fmla="val 4546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3</a:t>
          </a:r>
          <a:endParaRPr lang="de-DE"/>
        </a:p>
      </xdr:txBody>
    </xdr:sp>
    <xdr:clientData/>
  </xdr:twoCellAnchor>
  <xdr:twoCellAnchor>
    <xdr:from>
      <xdr:col>1</xdr:col>
      <xdr:colOff>1676400</xdr:colOff>
      <xdr:row>8</xdr:row>
      <xdr:rowOff>104775</xdr:rowOff>
    </xdr:from>
    <xdr:to>
      <xdr:col>2</xdr:col>
      <xdr:colOff>152400</xdr:colOff>
      <xdr:row>9</xdr:row>
      <xdr:rowOff>123825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>
          <a:off x="2114550" y="1571625"/>
          <a:ext cx="209550" cy="209550"/>
        </a:xfrm>
        <a:prstGeom prst="wedgeEllipseCallout">
          <a:avLst>
            <a:gd name="adj1" fmla="val 90907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5</a:t>
          </a:r>
          <a:endParaRPr lang="de-DE"/>
        </a:p>
      </xdr:txBody>
    </xdr:sp>
    <xdr:clientData/>
  </xdr:twoCellAnchor>
  <xdr:twoCellAnchor>
    <xdr:from>
      <xdr:col>1</xdr:col>
      <xdr:colOff>1400175</xdr:colOff>
      <xdr:row>11</xdr:row>
      <xdr:rowOff>0</xdr:rowOff>
    </xdr:from>
    <xdr:to>
      <xdr:col>1</xdr:col>
      <xdr:colOff>1609725</xdr:colOff>
      <xdr:row>12</xdr:row>
      <xdr:rowOff>76200</xdr:rowOff>
    </xdr:to>
    <xdr:sp macro="" textlink="">
      <xdr:nvSpPr>
        <xdr:cNvPr id="52" name="AutoShap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>
          <a:off x="1838325" y="1943100"/>
          <a:ext cx="209550" cy="209550"/>
        </a:xfrm>
        <a:prstGeom prst="wedgeEllipseCallout">
          <a:avLst>
            <a:gd name="adj1" fmla="val 131819"/>
            <a:gd name="adj2" fmla="val 7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4</a:t>
          </a:r>
          <a:endParaRPr lang="de-DE"/>
        </a:p>
      </xdr:txBody>
    </xdr:sp>
    <xdr:clientData/>
  </xdr:twoCellAnchor>
  <xdr:twoCellAnchor>
    <xdr:from>
      <xdr:col>11</xdr:col>
      <xdr:colOff>561975</xdr:colOff>
      <xdr:row>11</xdr:row>
      <xdr:rowOff>85725</xdr:rowOff>
    </xdr:from>
    <xdr:to>
      <xdr:col>12</xdr:col>
      <xdr:colOff>161925</xdr:colOff>
      <xdr:row>12</xdr:row>
      <xdr:rowOff>161925</xdr:rowOff>
    </xdr:to>
    <xdr:sp macro="" textlink="">
      <xdr:nvSpPr>
        <xdr:cNvPr id="53" name="AutoShap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rrowheads="1"/>
        </xdr:cNvSpPr>
      </xdr:nvSpPr>
      <xdr:spPr bwMode="auto">
        <a:xfrm>
          <a:off x="8210550" y="2028825"/>
          <a:ext cx="209550" cy="209550"/>
        </a:xfrm>
        <a:prstGeom prst="wedgeEllipseCallout">
          <a:avLst>
            <a:gd name="adj1" fmla="val 95454"/>
            <a:gd name="adj2" fmla="val 10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6</a:t>
          </a:r>
          <a:endParaRPr lang="de-DE"/>
        </a:p>
      </xdr:txBody>
    </xdr:sp>
    <xdr:clientData/>
  </xdr:twoCellAnchor>
  <xdr:twoCellAnchor>
    <xdr:from>
      <xdr:col>5</xdr:col>
      <xdr:colOff>361950</xdr:colOff>
      <xdr:row>12</xdr:row>
      <xdr:rowOff>9525</xdr:rowOff>
    </xdr:from>
    <xdr:to>
      <xdr:col>5</xdr:col>
      <xdr:colOff>571500</xdr:colOff>
      <xdr:row>13</xdr:row>
      <xdr:rowOff>9525</xdr:rowOff>
    </xdr:to>
    <xdr:sp macro="" textlink="">
      <xdr:nvSpPr>
        <xdr:cNvPr id="54" name="AutoShap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rrowheads="1"/>
        </xdr:cNvSpPr>
      </xdr:nvSpPr>
      <xdr:spPr bwMode="auto">
        <a:xfrm>
          <a:off x="4352925" y="2085975"/>
          <a:ext cx="209550" cy="209550"/>
        </a:xfrm>
        <a:prstGeom prst="wedgeEllipseCallout">
          <a:avLst>
            <a:gd name="adj1" fmla="val -218181"/>
            <a:gd name="adj2" fmla="val 15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</a:t>
          </a:r>
          <a:endParaRPr lang="de-DE"/>
        </a:p>
      </xdr:txBody>
    </xdr:sp>
    <xdr:clientData/>
  </xdr:twoCellAnchor>
  <xdr:twoCellAnchor>
    <xdr:from>
      <xdr:col>14</xdr:col>
      <xdr:colOff>200025</xdr:colOff>
      <xdr:row>11</xdr:row>
      <xdr:rowOff>66675</xdr:rowOff>
    </xdr:from>
    <xdr:to>
      <xdr:col>14</xdr:col>
      <xdr:colOff>409575</xdr:colOff>
      <xdr:row>12</xdr:row>
      <xdr:rowOff>142875</xdr:rowOff>
    </xdr:to>
    <xdr:sp macro="" textlink="">
      <xdr:nvSpPr>
        <xdr:cNvPr id="55" name="AutoShap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rrowheads="1"/>
        </xdr:cNvSpPr>
      </xdr:nvSpPr>
      <xdr:spPr bwMode="auto">
        <a:xfrm>
          <a:off x="9677400" y="2009775"/>
          <a:ext cx="209550" cy="209550"/>
        </a:xfrm>
        <a:prstGeom prst="wedgeEllipseCallout">
          <a:avLst>
            <a:gd name="adj1" fmla="val 72727"/>
            <a:gd name="adj2" fmla="val 150000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8</a:t>
          </a:r>
          <a:endParaRPr lang="de-DE"/>
        </a:p>
      </xdr:txBody>
    </xdr:sp>
    <xdr:clientData/>
  </xdr:twoCellAnchor>
  <xdr:twoCellAnchor>
    <xdr:from>
      <xdr:col>8</xdr:col>
      <xdr:colOff>542925</xdr:colOff>
      <xdr:row>11</xdr:row>
      <xdr:rowOff>66675</xdr:rowOff>
    </xdr:from>
    <xdr:to>
      <xdr:col>9</xdr:col>
      <xdr:colOff>142875</xdr:colOff>
      <xdr:row>12</xdr:row>
      <xdr:rowOff>142875</xdr:rowOff>
    </xdr:to>
    <xdr:sp macro="" textlink="">
      <xdr:nvSpPr>
        <xdr:cNvPr id="56" name="AutoShap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6362700" y="2009775"/>
          <a:ext cx="209550" cy="209550"/>
        </a:xfrm>
        <a:prstGeom prst="wedgeEllipseCallout">
          <a:avLst>
            <a:gd name="adj1" fmla="val 95454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9</a:t>
          </a:r>
          <a:endParaRPr lang="de-DE"/>
        </a:p>
      </xdr:txBody>
    </xdr:sp>
    <xdr:clientData/>
  </xdr:twoCellAnchor>
  <xdr:twoCellAnchor>
    <xdr:from>
      <xdr:col>4</xdr:col>
      <xdr:colOff>9525</xdr:colOff>
      <xdr:row>32</xdr:row>
      <xdr:rowOff>209550</xdr:rowOff>
    </xdr:from>
    <xdr:to>
      <xdr:col>4</xdr:col>
      <xdr:colOff>285750</xdr:colOff>
      <xdr:row>33</xdr:row>
      <xdr:rowOff>171450</xdr:rowOff>
    </xdr:to>
    <xdr:sp macro="" textlink="">
      <xdr:nvSpPr>
        <xdr:cNvPr id="57" name="AutoShap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3390900" y="6991350"/>
          <a:ext cx="276225" cy="209550"/>
        </a:xfrm>
        <a:prstGeom prst="wedgeEllipseCallout">
          <a:avLst>
            <a:gd name="adj1" fmla="val 43102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10v</a:t>
          </a:r>
          <a:endParaRPr lang="de-DE"/>
        </a:p>
      </xdr:txBody>
    </xdr:sp>
    <xdr:clientData/>
  </xdr:twoCellAnchor>
  <xdr:twoCellAnchor>
    <xdr:from>
      <xdr:col>1</xdr:col>
      <xdr:colOff>1228725</xdr:colOff>
      <xdr:row>34</xdr:row>
      <xdr:rowOff>9525</xdr:rowOff>
    </xdr:from>
    <xdr:to>
      <xdr:col>1</xdr:col>
      <xdr:colOff>1504950</xdr:colOff>
      <xdr:row>34</xdr:row>
      <xdr:rowOff>219075</xdr:rowOff>
    </xdr:to>
    <xdr:sp macro="" textlink="">
      <xdr:nvSpPr>
        <xdr:cNvPr id="58" name="AutoShap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>
          <a:off x="1666875" y="7286625"/>
          <a:ext cx="276225" cy="209550"/>
        </a:xfrm>
        <a:prstGeom prst="wedgeEllipseCallout">
          <a:avLst>
            <a:gd name="adj1" fmla="val -212069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11v</a:t>
          </a:r>
          <a:endParaRPr lang="de-D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</xdr:row>
      <xdr:rowOff>47625</xdr:rowOff>
    </xdr:from>
    <xdr:to>
      <xdr:col>6</xdr:col>
      <xdr:colOff>561974</xdr:colOff>
      <xdr:row>3</xdr:row>
      <xdr:rowOff>123825</xdr:rowOff>
    </xdr:to>
    <xdr:sp macro="" textlink="">
      <xdr:nvSpPr>
        <xdr:cNvPr id="3" name="Abgerundetes Rechteck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52474" y="238125"/>
          <a:ext cx="4829175" cy="45720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de-DE" sz="1400" b="1">
              <a:solidFill>
                <a:sysClr val="windowText" lastClr="000000"/>
              </a:solidFill>
            </a:rPr>
            <a:t>Project</a:t>
          </a:r>
          <a:r>
            <a:rPr lang="de-DE" sz="1400" b="1" baseline="0">
              <a:solidFill>
                <a:sysClr val="windowText" lastClr="000000"/>
              </a:solidFill>
            </a:rPr>
            <a:t>plan-Project (10credits) in Master Course </a:t>
          </a:r>
          <a:br>
            <a:rPr lang="de-DE" sz="1400" b="1" baseline="0">
              <a:solidFill>
                <a:sysClr val="windowText" lastClr="000000"/>
              </a:solidFill>
            </a:rPr>
          </a:br>
          <a:r>
            <a:rPr lang="de-DE" sz="1400" b="1" baseline="0">
              <a:solidFill>
                <a:sysClr val="windowText" lastClr="000000"/>
              </a:solidFill>
            </a:rPr>
            <a:t>"Business Intelligence and Data Analytics" </a:t>
          </a:r>
          <a:endParaRPr lang="de-D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Git/GitTemplate/EvaluationS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roject"/>
      <sheetName val="Formalities"/>
    </sheetNames>
    <sheetDataSet>
      <sheetData sheetId="0">
        <row r="207">
          <cell r="A207" t="str">
            <v>Homework "Literature"</v>
          </cell>
        </row>
      </sheetData>
      <sheetData sheetId="1"/>
      <sheetData sheetId="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42" zoomScale="113" workbookViewId="0">
      <selection activeCell="D34" sqref="D34"/>
    </sheetView>
  </sheetViews>
  <sheetFormatPr baseColWidth="10" defaultColWidth="9.1640625" defaultRowHeight="15" x14ac:dyDescent="0.2"/>
  <cols>
    <col min="2" max="2" width="55" bestFit="1" customWidth="1"/>
  </cols>
  <sheetData>
    <row r="1" spans="1:9" ht="24" x14ac:dyDescent="0.3">
      <c r="B1" s="1" t="s">
        <v>16</v>
      </c>
    </row>
    <row r="3" spans="1:9" ht="16" thickBot="1" x14ac:dyDescent="0.25"/>
    <row r="4" spans="1:9" x14ac:dyDescent="0.2">
      <c r="A4" s="2" t="s">
        <v>17</v>
      </c>
      <c r="B4" s="3"/>
      <c r="G4" s="4"/>
      <c r="H4" s="2" t="s">
        <v>18</v>
      </c>
      <c r="I4" s="3"/>
    </row>
    <row r="5" spans="1:9" x14ac:dyDescent="0.2">
      <c r="A5" s="5" t="s">
        <v>19</v>
      </c>
      <c r="B5" s="6" t="s">
        <v>20</v>
      </c>
      <c r="H5" s="5" t="s">
        <v>21</v>
      </c>
      <c r="I5" s="7"/>
    </row>
    <row r="6" spans="1:9" ht="16" thickBot="1" x14ac:dyDescent="0.25">
      <c r="A6" s="8"/>
      <c r="B6" s="9"/>
      <c r="H6" s="8" t="s">
        <v>22</v>
      </c>
      <c r="I6" s="9"/>
    </row>
    <row r="9" spans="1:9" ht="21" x14ac:dyDescent="0.25">
      <c r="B9" s="65" t="s">
        <v>0</v>
      </c>
      <c r="C9" s="65"/>
      <c r="D9" s="65"/>
    </row>
    <row r="11" spans="1:9" x14ac:dyDescent="0.2">
      <c r="A11" t="s">
        <v>91</v>
      </c>
    </row>
    <row r="13" spans="1:9" ht="21" x14ac:dyDescent="0.25">
      <c r="A13" s="61" t="s">
        <v>1</v>
      </c>
      <c r="B13" s="61" t="s">
        <v>2</v>
      </c>
      <c r="C13" s="61" t="s">
        <v>3</v>
      </c>
      <c r="D13" s="61" t="s">
        <v>23</v>
      </c>
    </row>
    <row r="14" spans="1:9" ht="21" x14ac:dyDescent="0.25">
      <c r="A14" s="65" t="s">
        <v>39</v>
      </c>
      <c r="B14" s="65"/>
      <c r="C14" s="65"/>
      <c r="D14" s="65"/>
    </row>
    <row r="15" spans="1:9" x14ac:dyDescent="0.2">
      <c r="A15">
        <v>1</v>
      </c>
      <c r="B15" s="62" t="s">
        <v>10</v>
      </c>
      <c r="C15" s="66" t="s">
        <v>127</v>
      </c>
      <c r="D15" s="64" t="b">
        <v>1</v>
      </c>
    </row>
    <row r="16" spans="1:9" x14ac:dyDescent="0.2">
      <c r="A16">
        <f t="shared" ref="A16:A78" si="0">A15+1</f>
        <v>2</v>
      </c>
      <c r="B16" s="62" t="s">
        <v>92</v>
      </c>
      <c r="C16" s="66"/>
      <c r="D16" s="64" t="b">
        <v>1</v>
      </c>
    </row>
    <row r="17" spans="1:4" x14ac:dyDescent="0.2">
      <c r="A17">
        <f t="shared" si="0"/>
        <v>3</v>
      </c>
      <c r="B17" s="62" t="s">
        <v>93</v>
      </c>
      <c r="C17" s="66"/>
      <c r="D17" s="64" t="b">
        <v>1</v>
      </c>
    </row>
    <row r="18" spans="1:4" x14ac:dyDescent="0.2">
      <c r="A18">
        <f t="shared" si="0"/>
        <v>4</v>
      </c>
      <c r="B18" s="62" t="s">
        <v>4</v>
      </c>
      <c r="C18" s="66"/>
      <c r="D18" s="64" t="b">
        <v>1</v>
      </c>
    </row>
    <row r="19" spans="1:4" x14ac:dyDescent="0.2">
      <c r="A19">
        <f t="shared" si="0"/>
        <v>5</v>
      </c>
      <c r="B19" s="62" t="s">
        <v>5</v>
      </c>
      <c r="C19" s="66"/>
      <c r="D19" s="64" t="b">
        <v>0</v>
      </c>
    </row>
    <row r="20" spans="1:4" x14ac:dyDescent="0.2">
      <c r="A20">
        <f t="shared" si="0"/>
        <v>6</v>
      </c>
      <c r="B20" s="62" t="s">
        <v>7</v>
      </c>
      <c r="C20" s="66"/>
      <c r="D20" s="64" t="b">
        <v>1</v>
      </c>
    </row>
    <row r="21" spans="1:4" x14ac:dyDescent="0.2">
      <c r="A21">
        <f t="shared" si="0"/>
        <v>7</v>
      </c>
      <c r="B21" s="62" t="s">
        <v>94</v>
      </c>
      <c r="C21" s="66"/>
      <c r="D21" s="64" t="b">
        <v>1</v>
      </c>
    </row>
    <row r="22" spans="1:4" x14ac:dyDescent="0.2">
      <c r="A22">
        <f t="shared" si="0"/>
        <v>8</v>
      </c>
      <c r="B22" s="62" t="s">
        <v>6</v>
      </c>
      <c r="C22" s="66"/>
      <c r="D22" s="64" t="b">
        <v>1</v>
      </c>
    </row>
    <row r="23" spans="1:4" x14ac:dyDescent="0.2">
      <c r="A23">
        <f t="shared" si="0"/>
        <v>9</v>
      </c>
      <c r="B23" s="62" t="s">
        <v>8</v>
      </c>
      <c r="C23" s="66"/>
      <c r="D23" s="64" t="b">
        <v>1</v>
      </c>
    </row>
    <row r="24" spans="1:4" x14ac:dyDescent="0.2">
      <c r="A24">
        <f t="shared" si="0"/>
        <v>10</v>
      </c>
      <c r="B24" s="62" t="s">
        <v>9</v>
      </c>
      <c r="C24" s="66"/>
      <c r="D24" s="64" t="b">
        <v>0</v>
      </c>
    </row>
    <row r="25" spans="1:4" x14ac:dyDescent="0.2">
      <c r="A25">
        <f t="shared" si="0"/>
        <v>11</v>
      </c>
      <c r="B25" s="62" t="s">
        <v>105</v>
      </c>
      <c r="C25" s="66"/>
      <c r="D25" s="64" t="b">
        <v>1</v>
      </c>
    </row>
    <row r="26" spans="1:4" x14ac:dyDescent="0.2">
      <c r="A26">
        <f t="shared" si="0"/>
        <v>12</v>
      </c>
      <c r="B26" t="s">
        <v>24</v>
      </c>
      <c r="C26" s="67" t="s">
        <v>128</v>
      </c>
      <c r="D26" s="64" t="b">
        <v>1</v>
      </c>
    </row>
    <row r="27" spans="1:4" x14ac:dyDescent="0.2">
      <c r="A27">
        <f t="shared" si="0"/>
        <v>13</v>
      </c>
      <c r="B27" t="s">
        <v>12</v>
      </c>
      <c r="C27" s="67"/>
      <c r="D27" s="64" t="b">
        <v>0</v>
      </c>
    </row>
    <row r="28" spans="1:4" x14ac:dyDescent="0.2">
      <c r="A28">
        <f t="shared" si="0"/>
        <v>14</v>
      </c>
      <c r="B28" t="s">
        <v>100</v>
      </c>
      <c r="C28" s="67"/>
      <c r="D28" s="64" t="b">
        <v>0</v>
      </c>
    </row>
    <row r="29" spans="1:4" x14ac:dyDescent="0.2">
      <c r="A29">
        <f t="shared" si="0"/>
        <v>15</v>
      </c>
      <c r="B29" t="s">
        <v>101</v>
      </c>
      <c r="C29" s="67"/>
      <c r="D29" s="64" t="b">
        <v>0</v>
      </c>
    </row>
    <row r="30" spans="1:4" x14ac:dyDescent="0.2">
      <c r="A30">
        <f t="shared" si="0"/>
        <v>16</v>
      </c>
      <c r="B30" t="s">
        <v>95</v>
      </c>
      <c r="C30" s="67"/>
      <c r="D30" s="64" t="b">
        <v>1</v>
      </c>
    </row>
    <row r="31" spans="1:4" x14ac:dyDescent="0.2">
      <c r="A31">
        <f t="shared" si="0"/>
        <v>17</v>
      </c>
      <c r="B31" t="s">
        <v>102</v>
      </c>
      <c r="C31" s="67"/>
      <c r="D31" s="64" t="b">
        <v>0</v>
      </c>
    </row>
    <row r="32" spans="1:4" x14ac:dyDescent="0.2">
      <c r="A32">
        <f t="shared" si="0"/>
        <v>18</v>
      </c>
      <c r="B32" t="s">
        <v>103</v>
      </c>
      <c r="C32" s="67"/>
      <c r="D32" s="64" t="b">
        <v>0</v>
      </c>
    </row>
    <row r="33" spans="1:4" x14ac:dyDescent="0.2">
      <c r="A33">
        <f t="shared" si="0"/>
        <v>19</v>
      </c>
      <c r="B33" t="s">
        <v>25</v>
      </c>
      <c r="C33" s="67"/>
      <c r="D33" s="64" t="b">
        <v>0</v>
      </c>
    </row>
    <row r="34" spans="1:4" x14ac:dyDescent="0.2">
      <c r="A34">
        <f t="shared" si="0"/>
        <v>20</v>
      </c>
      <c r="B34" s="62" t="s">
        <v>26</v>
      </c>
      <c r="C34" s="66" t="s">
        <v>129</v>
      </c>
      <c r="D34" s="64" t="b">
        <v>1</v>
      </c>
    </row>
    <row r="35" spans="1:4" x14ac:dyDescent="0.2">
      <c r="A35">
        <f t="shared" si="0"/>
        <v>21</v>
      </c>
      <c r="B35" s="62" t="s">
        <v>33</v>
      </c>
      <c r="C35" s="66"/>
      <c r="D35" s="64" t="b">
        <v>1</v>
      </c>
    </row>
    <row r="36" spans="1:4" x14ac:dyDescent="0.2">
      <c r="A36">
        <f t="shared" si="0"/>
        <v>22</v>
      </c>
      <c r="B36" s="62" t="s">
        <v>27</v>
      </c>
      <c r="C36" s="66"/>
      <c r="D36" s="64" t="b">
        <v>0</v>
      </c>
    </row>
    <row r="37" spans="1:4" x14ac:dyDescent="0.2">
      <c r="A37">
        <f t="shared" si="0"/>
        <v>23</v>
      </c>
      <c r="B37" s="62" t="s">
        <v>104</v>
      </c>
      <c r="C37" s="66"/>
      <c r="D37" s="64" t="b">
        <v>1</v>
      </c>
    </row>
    <row r="38" spans="1:4" ht="21" x14ac:dyDescent="0.25">
      <c r="A38" s="65" t="s">
        <v>40</v>
      </c>
      <c r="B38" s="65"/>
      <c r="C38" s="65"/>
      <c r="D38" s="65"/>
    </row>
    <row r="39" spans="1:4" x14ac:dyDescent="0.2">
      <c r="A39">
        <f>A37+1</f>
        <v>24</v>
      </c>
      <c r="B39" t="s">
        <v>32</v>
      </c>
      <c r="C39" s="67" t="s">
        <v>130</v>
      </c>
      <c r="D39" s="64" t="b">
        <v>0</v>
      </c>
    </row>
    <row r="40" spans="1:4" x14ac:dyDescent="0.2">
      <c r="A40">
        <f t="shared" si="0"/>
        <v>25</v>
      </c>
      <c r="B40" t="s">
        <v>34</v>
      </c>
      <c r="C40" s="67"/>
      <c r="D40" s="64" t="b">
        <v>0</v>
      </c>
    </row>
    <row r="41" spans="1:4" x14ac:dyDescent="0.2">
      <c r="A41">
        <f t="shared" si="0"/>
        <v>26</v>
      </c>
      <c r="B41" t="s">
        <v>35</v>
      </c>
      <c r="C41" s="67"/>
      <c r="D41" s="64" t="b">
        <v>0</v>
      </c>
    </row>
    <row r="42" spans="1:4" x14ac:dyDescent="0.2">
      <c r="A42">
        <f t="shared" si="0"/>
        <v>27</v>
      </c>
      <c r="B42" t="s">
        <v>44</v>
      </c>
      <c r="C42" s="67"/>
      <c r="D42" s="64" t="b">
        <v>0</v>
      </c>
    </row>
    <row r="43" spans="1:4" x14ac:dyDescent="0.2">
      <c r="A43">
        <f t="shared" si="0"/>
        <v>28</v>
      </c>
      <c r="B43" t="s">
        <v>46</v>
      </c>
      <c r="C43" s="67"/>
      <c r="D43" s="64" t="b">
        <v>0</v>
      </c>
    </row>
    <row r="44" spans="1:4" x14ac:dyDescent="0.2">
      <c r="A44">
        <f t="shared" si="0"/>
        <v>29</v>
      </c>
      <c r="B44" t="s">
        <v>121</v>
      </c>
      <c r="C44" s="67"/>
      <c r="D44" s="64" t="b">
        <v>0</v>
      </c>
    </row>
    <row r="45" spans="1:4" x14ac:dyDescent="0.2">
      <c r="A45">
        <f t="shared" si="0"/>
        <v>30</v>
      </c>
      <c r="B45" t="s">
        <v>120</v>
      </c>
      <c r="C45" s="67"/>
      <c r="D45" s="64" t="b">
        <v>0</v>
      </c>
    </row>
    <row r="46" spans="1:4" ht="15" customHeight="1" x14ac:dyDescent="0.2">
      <c r="A46">
        <f t="shared" si="0"/>
        <v>31</v>
      </c>
      <c r="B46" s="62" t="s">
        <v>106</v>
      </c>
      <c r="C46" s="68" t="s">
        <v>131</v>
      </c>
      <c r="D46" s="64" t="b">
        <v>0</v>
      </c>
    </row>
    <row r="47" spans="1:4" x14ac:dyDescent="0.2">
      <c r="A47">
        <f t="shared" si="0"/>
        <v>32</v>
      </c>
      <c r="B47" s="62" t="s">
        <v>107</v>
      </c>
      <c r="C47" s="68"/>
      <c r="D47" s="64" t="b">
        <v>0</v>
      </c>
    </row>
    <row r="48" spans="1:4" x14ac:dyDescent="0.2">
      <c r="A48">
        <f t="shared" si="0"/>
        <v>33</v>
      </c>
      <c r="B48" s="62" t="s">
        <v>108</v>
      </c>
      <c r="C48" s="68"/>
      <c r="D48" s="64" t="b">
        <v>0</v>
      </c>
    </row>
    <row r="49" spans="1:4" x14ac:dyDescent="0.2">
      <c r="A49">
        <f t="shared" si="0"/>
        <v>34</v>
      </c>
      <c r="B49" s="62" t="s">
        <v>109</v>
      </c>
      <c r="C49" s="68"/>
      <c r="D49" s="64" t="b">
        <v>0</v>
      </c>
    </row>
    <row r="50" spans="1:4" x14ac:dyDescent="0.2">
      <c r="A50">
        <f t="shared" si="0"/>
        <v>35</v>
      </c>
      <c r="B50" t="s">
        <v>110</v>
      </c>
      <c r="C50" s="69" t="s">
        <v>132</v>
      </c>
      <c r="D50" s="64" t="b">
        <v>0</v>
      </c>
    </row>
    <row r="51" spans="1:4" x14ac:dyDescent="0.2">
      <c r="A51">
        <f t="shared" si="0"/>
        <v>36</v>
      </c>
      <c r="B51" t="s">
        <v>111</v>
      </c>
      <c r="C51" s="69"/>
      <c r="D51" s="64" t="b">
        <v>0</v>
      </c>
    </row>
    <row r="52" spans="1:4" x14ac:dyDescent="0.2">
      <c r="A52">
        <f t="shared" si="0"/>
        <v>37</v>
      </c>
      <c r="B52" t="s">
        <v>122</v>
      </c>
      <c r="C52" s="69"/>
      <c r="D52" s="64" t="b">
        <v>0</v>
      </c>
    </row>
    <row r="53" spans="1:4" x14ac:dyDescent="0.2">
      <c r="A53">
        <f t="shared" si="0"/>
        <v>38</v>
      </c>
      <c r="B53" s="62" t="str">
        <f>[1]Report!$A$207</f>
        <v>Homework "Literature"</v>
      </c>
      <c r="C53" s="68" t="s">
        <v>133</v>
      </c>
      <c r="D53" s="64" t="b">
        <v>0</v>
      </c>
    </row>
    <row r="54" spans="1:4" x14ac:dyDescent="0.2">
      <c r="A54">
        <f t="shared" si="0"/>
        <v>39</v>
      </c>
      <c r="B54" s="62" t="s">
        <v>112</v>
      </c>
      <c r="C54" s="68"/>
      <c r="D54" s="64" t="b">
        <v>0</v>
      </c>
    </row>
    <row r="55" spans="1:4" x14ac:dyDescent="0.2">
      <c r="A55">
        <f t="shared" si="0"/>
        <v>40</v>
      </c>
      <c r="B55" s="62" t="s">
        <v>116</v>
      </c>
      <c r="C55" s="68"/>
      <c r="D55" s="64" t="b">
        <v>0</v>
      </c>
    </row>
    <row r="56" spans="1:4" x14ac:dyDescent="0.2">
      <c r="A56">
        <f t="shared" si="0"/>
        <v>41</v>
      </c>
      <c r="B56" t="s">
        <v>115</v>
      </c>
      <c r="C56" s="69" t="s">
        <v>134</v>
      </c>
      <c r="D56" s="64" t="b">
        <v>0</v>
      </c>
    </row>
    <row r="57" spans="1:4" x14ac:dyDescent="0.2">
      <c r="A57">
        <f t="shared" si="0"/>
        <v>42</v>
      </c>
      <c r="B57" t="s">
        <v>117</v>
      </c>
      <c r="C57" s="69"/>
      <c r="D57" s="64" t="b">
        <v>0</v>
      </c>
    </row>
    <row r="58" spans="1:4" x14ac:dyDescent="0.2">
      <c r="A58">
        <f>A57+1</f>
        <v>43</v>
      </c>
      <c r="B58" t="s">
        <v>113</v>
      </c>
      <c r="C58" s="69"/>
      <c r="D58" s="64" t="b">
        <v>0</v>
      </c>
    </row>
    <row r="59" spans="1:4" x14ac:dyDescent="0.2">
      <c r="A59">
        <f t="shared" si="0"/>
        <v>44</v>
      </c>
      <c r="B59" t="s">
        <v>114</v>
      </c>
      <c r="C59" s="69"/>
      <c r="D59" s="64" t="b">
        <v>0</v>
      </c>
    </row>
    <row r="60" spans="1:4" x14ac:dyDescent="0.2">
      <c r="A60">
        <f t="shared" si="0"/>
        <v>45</v>
      </c>
      <c r="B60" s="62" t="s">
        <v>118</v>
      </c>
      <c r="C60" s="68" t="s">
        <v>135</v>
      </c>
      <c r="D60" s="64" t="b">
        <v>0</v>
      </c>
    </row>
    <row r="61" spans="1:4" x14ac:dyDescent="0.2">
      <c r="A61">
        <f t="shared" si="0"/>
        <v>46</v>
      </c>
      <c r="B61" s="62" t="s">
        <v>119</v>
      </c>
      <c r="C61" s="68"/>
      <c r="D61" s="64" t="b">
        <v>0</v>
      </c>
    </row>
    <row r="62" spans="1:4" x14ac:dyDescent="0.2">
      <c r="A62">
        <f t="shared" si="0"/>
        <v>47</v>
      </c>
      <c r="B62" s="62" t="s">
        <v>124</v>
      </c>
      <c r="C62" s="68"/>
      <c r="D62" s="64" t="b">
        <v>0</v>
      </c>
    </row>
    <row r="63" spans="1:4" x14ac:dyDescent="0.2">
      <c r="A63">
        <f t="shared" si="0"/>
        <v>48</v>
      </c>
      <c r="B63" t="s">
        <v>123</v>
      </c>
      <c r="C63" s="69" t="s">
        <v>136</v>
      </c>
      <c r="D63" s="64" t="b">
        <v>0</v>
      </c>
    </row>
    <row r="64" spans="1:4" x14ac:dyDescent="0.2">
      <c r="A64">
        <f t="shared" si="0"/>
        <v>49</v>
      </c>
      <c r="B64" s="63" t="s">
        <v>125</v>
      </c>
      <c r="C64" s="69"/>
      <c r="D64" s="64" t="b">
        <v>0</v>
      </c>
    </row>
    <row r="65" spans="1:4" x14ac:dyDescent="0.2">
      <c r="A65">
        <f t="shared" si="0"/>
        <v>50</v>
      </c>
      <c r="B65" s="63" t="s">
        <v>126</v>
      </c>
      <c r="C65" s="69"/>
      <c r="D65" s="64" t="b">
        <v>0</v>
      </c>
    </row>
    <row r="66" spans="1:4" ht="21" x14ac:dyDescent="0.25">
      <c r="A66" s="65" t="s">
        <v>41</v>
      </c>
      <c r="B66" s="65"/>
      <c r="C66" s="65"/>
      <c r="D66" s="65"/>
    </row>
    <row r="67" spans="1:4" x14ac:dyDescent="0.2">
      <c r="A67">
        <f>A65+1</f>
        <v>51</v>
      </c>
      <c r="B67" t="s">
        <v>36</v>
      </c>
      <c r="D67" s="64" t="b">
        <v>0</v>
      </c>
    </row>
    <row r="68" spans="1:4" x14ac:dyDescent="0.2">
      <c r="A68">
        <f t="shared" si="0"/>
        <v>52</v>
      </c>
      <c r="B68" t="s">
        <v>37</v>
      </c>
      <c r="D68" s="64" t="b">
        <v>0</v>
      </c>
    </row>
    <row r="69" spans="1:4" x14ac:dyDescent="0.2">
      <c r="A69">
        <f t="shared" si="0"/>
        <v>53</v>
      </c>
      <c r="B69" t="s">
        <v>38</v>
      </c>
      <c r="D69" s="64" t="b">
        <v>0</v>
      </c>
    </row>
    <row r="70" spans="1:4" x14ac:dyDescent="0.2">
      <c r="A70">
        <f t="shared" si="0"/>
        <v>54</v>
      </c>
      <c r="B70" t="s">
        <v>47</v>
      </c>
      <c r="D70" s="64" t="b">
        <v>0</v>
      </c>
    </row>
    <row r="71" spans="1:4" x14ac:dyDescent="0.2">
      <c r="A71">
        <f>A70+1</f>
        <v>55</v>
      </c>
      <c r="B71" t="s">
        <v>43</v>
      </c>
      <c r="D71" s="64" t="b">
        <v>0</v>
      </c>
    </row>
    <row r="72" spans="1:4" x14ac:dyDescent="0.2">
      <c r="A72">
        <f t="shared" si="0"/>
        <v>56</v>
      </c>
      <c r="B72" t="s">
        <v>42</v>
      </c>
      <c r="D72" s="64" t="b">
        <v>0</v>
      </c>
    </row>
    <row r="73" spans="1:4" x14ac:dyDescent="0.2">
      <c r="A73">
        <f t="shared" si="0"/>
        <v>57</v>
      </c>
      <c r="B73" t="s">
        <v>45</v>
      </c>
      <c r="D73" s="64" t="b">
        <v>0</v>
      </c>
    </row>
    <row r="74" spans="1:4" x14ac:dyDescent="0.2">
      <c r="A74">
        <f t="shared" si="0"/>
        <v>58</v>
      </c>
      <c r="B74" t="s">
        <v>48</v>
      </c>
      <c r="D74" s="64" t="b">
        <v>0</v>
      </c>
    </row>
    <row r="75" spans="1:4" x14ac:dyDescent="0.2">
      <c r="A75">
        <f t="shared" si="0"/>
        <v>59</v>
      </c>
      <c r="D75" s="64" t="b">
        <v>0</v>
      </c>
    </row>
    <row r="76" spans="1:4" x14ac:dyDescent="0.2">
      <c r="A76">
        <f t="shared" si="0"/>
        <v>60</v>
      </c>
      <c r="D76" s="64" t="b">
        <v>0</v>
      </c>
    </row>
    <row r="77" spans="1:4" x14ac:dyDescent="0.2">
      <c r="A77">
        <f t="shared" si="0"/>
        <v>61</v>
      </c>
      <c r="D77" s="64" t="b">
        <v>0</v>
      </c>
    </row>
    <row r="78" spans="1:4" x14ac:dyDescent="0.2">
      <c r="A78">
        <f t="shared" si="0"/>
        <v>62</v>
      </c>
      <c r="D78" s="64" t="b">
        <v>0</v>
      </c>
    </row>
    <row r="79" spans="1:4" x14ac:dyDescent="0.2">
      <c r="D79" s="64" t="b">
        <v>0</v>
      </c>
    </row>
  </sheetData>
  <mergeCells count="14">
    <mergeCell ref="A14:D14"/>
    <mergeCell ref="A66:D66"/>
    <mergeCell ref="B9:D9"/>
    <mergeCell ref="A38:D38"/>
    <mergeCell ref="C15:C25"/>
    <mergeCell ref="C26:C33"/>
    <mergeCell ref="C34:C37"/>
    <mergeCell ref="C39:C45"/>
    <mergeCell ref="C46:C49"/>
    <mergeCell ref="C50:C52"/>
    <mergeCell ref="C53:C55"/>
    <mergeCell ref="C56:C59"/>
    <mergeCell ref="C60:C62"/>
    <mergeCell ref="C63:C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opLeftCell="A19" workbookViewId="0">
      <selection activeCell="S16" sqref="S16"/>
    </sheetView>
  </sheetViews>
  <sheetFormatPr baseColWidth="10" defaultRowHeight="15" x14ac:dyDescent="0.2"/>
  <sheetData>
    <row r="1" spans="1:18" x14ac:dyDescent="0.2">
      <c r="A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8" x14ac:dyDescent="0.2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x14ac:dyDescent="0.2">
      <c r="A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x14ac:dyDescent="0.2">
      <c r="A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8" x14ac:dyDescent="0.2">
      <c r="A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8" x14ac:dyDescent="0.2">
      <c r="A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8" ht="16" x14ac:dyDescent="0.2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1"/>
    </row>
    <row r="8" spans="1:18" ht="18" x14ac:dyDescent="0.2">
      <c r="A8" s="11"/>
      <c r="B8" s="11"/>
      <c r="C8" s="11"/>
      <c r="D8" s="70" t="s">
        <v>49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11"/>
    </row>
    <row r="9" spans="1:18" ht="16" x14ac:dyDescent="0.2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1"/>
    </row>
    <row r="10" spans="1:18" ht="16" thickBot="1" x14ac:dyDescent="0.25">
      <c r="A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8" ht="16" thickTop="1" x14ac:dyDescent="0.2">
      <c r="A11" s="13"/>
      <c r="B11" s="14"/>
      <c r="C11" s="14" t="s">
        <v>28</v>
      </c>
      <c r="D11" s="15">
        <v>10</v>
      </c>
      <c r="E11" s="16">
        <v>11</v>
      </c>
      <c r="F11" s="16">
        <v>12</v>
      </c>
      <c r="G11" s="16">
        <v>13</v>
      </c>
      <c r="H11" s="16">
        <v>14</v>
      </c>
      <c r="I11" s="16">
        <v>15</v>
      </c>
      <c r="J11" s="16">
        <v>16</v>
      </c>
      <c r="K11" s="16">
        <v>17</v>
      </c>
      <c r="L11" s="16" t="s">
        <v>50</v>
      </c>
      <c r="M11" s="16">
        <v>26</v>
      </c>
      <c r="N11" s="16">
        <v>27</v>
      </c>
      <c r="O11" s="16" t="s">
        <v>50</v>
      </c>
      <c r="P11" s="17">
        <v>30</v>
      </c>
      <c r="Q11" s="11"/>
    </row>
    <row r="12" spans="1:18" x14ac:dyDescent="0.2">
      <c r="A12" s="18"/>
      <c r="B12" s="19"/>
      <c r="C12" s="19" t="s">
        <v>51</v>
      </c>
      <c r="D12" s="20">
        <v>1</v>
      </c>
      <c r="E12" s="21">
        <v>2</v>
      </c>
      <c r="F12" s="21">
        <v>3</v>
      </c>
      <c r="G12" s="21">
        <v>4</v>
      </c>
      <c r="H12" s="21">
        <v>5</v>
      </c>
      <c r="I12" s="21">
        <v>6</v>
      </c>
      <c r="J12" s="21">
        <v>7</v>
      </c>
      <c r="K12" s="21">
        <v>8</v>
      </c>
      <c r="L12" s="21" t="s">
        <v>50</v>
      </c>
      <c r="M12" s="21">
        <v>16</v>
      </c>
      <c r="N12" s="21">
        <v>17</v>
      </c>
      <c r="O12" s="21" t="s">
        <v>50</v>
      </c>
      <c r="P12" s="22">
        <v>20</v>
      </c>
      <c r="Q12" s="11"/>
    </row>
    <row r="13" spans="1:18" ht="17" thickBot="1" x14ac:dyDescent="0.25">
      <c r="A13" s="23" t="s">
        <v>29</v>
      </c>
      <c r="B13" s="24" t="s">
        <v>30</v>
      </c>
      <c r="C13" s="25" t="s">
        <v>52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11"/>
    </row>
    <row r="14" spans="1:18" x14ac:dyDescent="0.2">
      <c r="A14" s="29">
        <v>1</v>
      </c>
      <c r="B14" s="30" t="s">
        <v>53</v>
      </c>
      <c r="C14" s="31">
        <v>2.5</v>
      </c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  <c r="Q14" s="35"/>
      <c r="R14" s="36"/>
    </row>
    <row r="15" spans="1:18" x14ac:dyDescent="0.2">
      <c r="A15" s="37">
        <f>A14+1</f>
        <v>2</v>
      </c>
      <c r="B15" s="38" t="s">
        <v>50</v>
      </c>
      <c r="C15" s="39">
        <v>1</v>
      </c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  <c r="Q15" s="35"/>
      <c r="R15" s="36"/>
    </row>
    <row r="16" spans="1:18" x14ac:dyDescent="0.2">
      <c r="A16" s="37">
        <f t="shared" ref="A16:A30" si="0">A15+1</f>
        <v>3</v>
      </c>
      <c r="B16" s="38" t="s">
        <v>50</v>
      </c>
      <c r="C16" s="39" t="s">
        <v>50</v>
      </c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35"/>
      <c r="R16" s="36"/>
    </row>
    <row r="17" spans="1:18" x14ac:dyDescent="0.2">
      <c r="A17" s="37">
        <f t="shared" si="0"/>
        <v>4</v>
      </c>
      <c r="B17" s="38"/>
      <c r="C17" s="39">
        <v>2</v>
      </c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35"/>
      <c r="R17" s="36"/>
    </row>
    <row r="18" spans="1:18" x14ac:dyDescent="0.2">
      <c r="A18" s="37">
        <f t="shared" si="0"/>
        <v>5</v>
      </c>
      <c r="B18" s="38"/>
      <c r="C18" s="39" t="s">
        <v>50</v>
      </c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35"/>
      <c r="R18" s="36"/>
    </row>
    <row r="19" spans="1:18" x14ac:dyDescent="0.2">
      <c r="A19" s="37">
        <f t="shared" si="0"/>
        <v>6</v>
      </c>
      <c r="B19" s="38"/>
      <c r="C19" s="39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35"/>
      <c r="R19" s="36"/>
    </row>
    <row r="20" spans="1:18" x14ac:dyDescent="0.2">
      <c r="A20" s="37">
        <f t="shared" si="0"/>
        <v>7</v>
      </c>
      <c r="B20" s="38"/>
      <c r="C20" s="39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35"/>
      <c r="R20" s="36"/>
    </row>
    <row r="21" spans="1:18" x14ac:dyDescent="0.2">
      <c r="A21" s="37">
        <f t="shared" si="0"/>
        <v>8</v>
      </c>
      <c r="B21" s="38"/>
      <c r="C21" s="39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35"/>
      <c r="R21" s="36"/>
    </row>
    <row r="22" spans="1:18" x14ac:dyDescent="0.2">
      <c r="A22" s="37">
        <f t="shared" si="0"/>
        <v>9</v>
      </c>
      <c r="B22" s="38"/>
      <c r="C22" s="39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35"/>
      <c r="R22" s="36"/>
    </row>
    <row r="23" spans="1:18" x14ac:dyDescent="0.2">
      <c r="A23" s="37">
        <f t="shared" si="0"/>
        <v>10</v>
      </c>
      <c r="B23" s="38"/>
      <c r="C23" s="39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  <c r="Q23" s="35"/>
      <c r="R23" s="36"/>
    </row>
    <row r="24" spans="1:18" x14ac:dyDescent="0.2">
      <c r="A24" s="37">
        <f t="shared" si="0"/>
        <v>11</v>
      </c>
      <c r="B24" s="38"/>
      <c r="C24" s="39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35"/>
      <c r="R24" s="36"/>
    </row>
    <row r="25" spans="1:18" x14ac:dyDescent="0.2">
      <c r="A25" s="37">
        <f t="shared" si="0"/>
        <v>12</v>
      </c>
      <c r="B25" s="38"/>
      <c r="C25" s="39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35"/>
      <c r="R25" s="36"/>
    </row>
    <row r="26" spans="1:18" x14ac:dyDescent="0.2">
      <c r="A26" s="37">
        <f t="shared" si="0"/>
        <v>13</v>
      </c>
      <c r="B26" s="38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35"/>
      <c r="R26" s="36"/>
    </row>
    <row r="27" spans="1:18" x14ac:dyDescent="0.2">
      <c r="A27" s="37">
        <f t="shared" si="0"/>
        <v>14</v>
      </c>
      <c r="B27" s="38" t="s">
        <v>54</v>
      </c>
      <c r="C27" s="39" t="s">
        <v>50</v>
      </c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  <c r="Q27" s="35"/>
      <c r="R27" s="36"/>
    </row>
    <row r="28" spans="1:18" x14ac:dyDescent="0.2">
      <c r="A28" s="37">
        <f t="shared" si="0"/>
        <v>15</v>
      </c>
      <c r="B28" s="38" t="s">
        <v>55</v>
      </c>
      <c r="C28" s="39">
        <v>2</v>
      </c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  <c r="Q28" s="35"/>
      <c r="R28" s="36"/>
    </row>
    <row r="29" spans="1:18" x14ac:dyDescent="0.2">
      <c r="A29" s="37">
        <f t="shared" si="0"/>
        <v>16</v>
      </c>
      <c r="B29" s="38" t="s">
        <v>56</v>
      </c>
      <c r="C29" s="39">
        <v>1.5</v>
      </c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  <c r="Q29" s="35"/>
      <c r="R29" s="36"/>
    </row>
    <row r="30" spans="1:18" ht="16" thickBot="1" x14ac:dyDescent="0.25">
      <c r="A30" s="43">
        <f t="shared" si="0"/>
        <v>17</v>
      </c>
      <c r="B30" s="44" t="s">
        <v>57</v>
      </c>
      <c r="C30" s="45">
        <v>1</v>
      </c>
      <c r="D30" s="4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/>
      <c r="Q30" s="35"/>
      <c r="R30" s="36"/>
    </row>
    <row r="31" spans="1:18" ht="16" thickTop="1" x14ac:dyDescent="0.2">
      <c r="A31" s="11"/>
      <c r="C31" s="4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8" ht="16" thickBot="1" x14ac:dyDescent="0.25">
      <c r="A32" s="11"/>
      <c r="C32" s="4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8" ht="16" thickTop="1" x14ac:dyDescent="0.2">
      <c r="A33" s="50"/>
      <c r="B33" s="51" t="s">
        <v>58</v>
      </c>
      <c r="C33" s="52"/>
      <c r="D33" s="53"/>
      <c r="E33" s="54"/>
      <c r="F33" s="54"/>
      <c r="G33" s="54"/>
      <c r="H33" s="54" t="s">
        <v>59</v>
      </c>
      <c r="I33" s="54"/>
      <c r="J33" s="54"/>
      <c r="K33" s="54" t="s">
        <v>60</v>
      </c>
      <c r="L33" s="54"/>
      <c r="M33" s="54" t="s">
        <v>61</v>
      </c>
      <c r="N33" s="54"/>
      <c r="O33" s="54"/>
      <c r="P33" s="55"/>
      <c r="Q33" s="35"/>
      <c r="R33" s="36"/>
    </row>
    <row r="34" spans="1:18" x14ac:dyDescent="0.2">
      <c r="A34" s="37"/>
      <c r="B34" s="38" t="s">
        <v>62</v>
      </c>
      <c r="C34" s="39"/>
      <c r="D34" s="40"/>
      <c r="E34" s="41"/>
      <c r="F34" s="41"/>
      <c r="G34" s="41"/>
      <c r="H34" s="41"/>
      <c r="I34" s="41"/>
      <c r="J34" s="41" t="s">
        <v>63</v>
      </c>
      <c r="K34" s="41"/>
      <c r="L34" s="41"/>
      <c r="M34" s="41"/>
      <c r="N34" s="41"/>
      <c r="O34" s="56" t="s">
        <v>64</v>
      </c>
      <c r="P34" s="42"/>
      <c r="Q34" s="35"/>
      <c r="R34" s="36"/>
    </row>
    <row r="35" spans="1:18" ht="16" thickBot="1" x14ac:dyDescent="0.25">
      <c r="A35" s="43"/>
      <c r="B35" s="44" t="s">
        <v>31</v>
      </c>
      <c r="C35" s="45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  <c r="Q35" s="35"/>
      <c r="R35" s="36"/>
    </row>
    <row r="36" spans="1:18" ht="16" thickTop="1" x14ac:dyDescent="0.2">
      <c r="A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8" x14ac:dyDescent="0.2">
      <c r="A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8" x14ac:dyDescent="0.2">
      <c r="A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8" x14ac:dyDescent="0.2">
      <c r="A39" s="11"/>
      <c r="B39" s="57" t="s">
        <v>65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8" x14ac:dyDescent="0.2">
      <c r="A40" s="11"/>
      <c r="B40" s="57" t="s">
        <v>66</v>
      </c>
      <c r="D40" s="11"/>
      <c r="E40" s="11"/>
      <c r="F40" s="11"/>
      <c r="G40" s="11"/>
      <c r="H40" s="11"/>
      <c r="I40" s="11"/>
      <c r="J40" s="11"/>
      <c r="K40" s="58" t="s">
        <v>67</v>
      </c>
      <c r="L40" s="11"/>
      <c r="M40" s="11"/>
      <c r="N40" s="11"/>
      <c r="O40" s="11"/>
      <c r="P40" s="11"/>
      <c r="Q40" s="11"/>
    </row>
    <row r="41" spans="1:18" x14ac:dyDescent="0.2">
      <c r="A41" s="11"/>
      <c r="B41" s="5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8" x14ac:dyDescent="0.2">
      <c r="A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8" x14ac:dyDescent="0.2">
      <c r="A43" s="11"/>
      <c r="B43" s="57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x14ac:dyDescent="0.2">
      <c r="A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</sheetData>
  <mergeCells count="1">
    <mergeCell ref="D8:P8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"/>
  <sheetViews>
    <sheetView workbookViewId="0">
      <selection sqref="A1:Q10"/>
    </sheetView>
  </sheetViews>
  <sheetFormatPr baseColWidth="10" defaultRowHeight="15" x14ac:dyDescent="0.2"/>
  <sheetData>
    <row r="1" spans="1:16" x14ac:dyDescent="0.2">
      <c r="A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">
      <c r="A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2">
      <c r="A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x14ac:dyDescent="0.2">
      <c r="A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2">
      <c r="A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6" x14ac:dyDescent="0.2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ht="18" x14ac:dyDescent="0.2">
      <c r="A8" s="11"/>
      <c r="B8" s="11"/>
      <c r="C8" s="11"/>
      <c r="D8" s="70" t="s">
        <v>68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</row>
    <row r="9" spans="1:16" ht="16" x14ac:dyDescent="0.2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6" thickBot="1" x14ac:dyDescent="0.25">
      <c r="A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6" thickTop="1" x14ac:dyDescent="0.2">
      <c r="A11" s="13"/>
      <c r="B11" s="14"/>
      <c r="C11" s="14" t="s">
        <v>69</v>
      </c>
      <c r="D11" s="15">
        <v>10</v>
      </c>
      <c r="E11" s="16">
        <v>11</v>
      </c>
      <c r="F11" s="16">
        <v>12</v>
      </c>
      <c r="G11" s="16">
        <v>13</v>
      </c>
      <c r="H11" s="16">
        <v>14</v>
      </c>
      <c r="I11" s="16">
        <v>15</v>
      </c>
      <c r="J11" s="16">
        <v>16</v>
      </c>
      <c r="K11" s="16">
        <v>17</v>
      </c>
      <c r="L11" s="16" t="s">
        <v>50</v>
      </c>
      <c r="M11" s="16">
        <v>35</v>
      </c>
      <c r="N11" s="16">
        <v>36</v>
      </c>
      <c r="O11" s="16" t="s">
        <v>50</v>
      </c>
      <c r="P11" s="17">
        <v>39</v>
      </c>
    </row>
    <row r="12" spans="1:16" x14ac:dyDescent="0.2">
      <c r="A12" s="18"/>
      <c r="B12" s="19"/>
      <c r="C12" s="19" t="s">
        <v>70</v>
      </c>
      <c r="D12" s="20">
        <v>1</v>
      </c>
      <c r="E12" s="21">
        <v>2</v>
      </c>
      <c r="F12" s="21">
        <v>3</v>
      </c>
      <c r="G12" s="21">
        <v>4</v>
      </c>
      <c r="H12" s="21">
        <v>5</v>
      </c>
      <c r="I12" s="21">
        <v>6</v>
      </c>
      <c r="J12" s="21">
        <v>7</v>
      </c>
      <c r="K12" s="21">
        <v>8</v>
      </c>
      <c r="L12" s="21" t="s">
        <v>50</v>
      </c>
      <c r="M12" s="21">
        <v>26</v>
      </c>
      <c r="N12" s="21">
        <v>27</v>
      </c>
      <c r="O12" s="21" t="s">
        <v>50</v>
      </c>
      <c r="P12" s="22">
        <v>30</v>
      </c>
    </row>
    <row r="13" spans="1:16" ht="17" thickBot="1" x14ac:dyDescent="0.25">
      <c r="A13" s="23" t="s">
        <v>71</v>
      </c>
      <c r="B13" s="24" t="s">
        <v>72</v>
      </c>
      <c r="C13" s="25" t="s">
        <v>73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</row>
    <row r="14" spans="1:16" x14ac:dyDescent="0.2">
      <c r="A14" s="29">
        <v>1</v>
      </c>
      <c r="B14" s="59" t="s">
        <v>74</v>
      </c>
      <c r="C14" s="31">
        <v>2.5</v>
      </c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</row>
    <row r="15" spans="1:16" x14ac:dyDescent="0.2">
      <c r="A15" s="37">
        <f>A14+1</f>
        <v>2</v>
      </c>
      <c r="B15" s="38" t="s">
        <v>50</v>
      </c>
      <c r="C15" s="39">
        <v>1</v>
      </c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</row>
    <row r="16" spans="1:16" x14ac:dyDescent="0.2">
      <c r="A16" s="37">
        <f t="shared" ref="A16:A30" si="0">A15+1</f>
        <v>3</v>
      </c>
      <c r="B16" s="38" t="s">
        <v>50</v>
      </c>
      <c r="C16" s="39" t="s">
        <v>50</v>
      </c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</row>
    <row r="17" spans="1:16" x14ac:dyDescent="0.2">
      <c r="A17" s="37">
        <f t="shared" si="0"/>
        <v>4</v>
      </c>
      <c r="B17" s="38"/>
      <c r="C17" s="39">
        <v>2</v>
      </c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</row>
    <row r="18" spans="1:16" x14ac:dyDescent="0.2">
      <c r="A18" s="37">
        <f t="shared" si="0"/>
        <v>5</v>
      </c>
      <c r="B18" s="38"/>
      <c r="C18" s="39" t="s">
        <v>50</v>
      </c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</row>
    <row r="19" spans="1:16" x14ac:dyDescent="0.2">
      <c r="A19" s="37">
        <f t="shared" si="0"/>
        <v>6</v>
      </c>
      <c r="B19" s="38"/>
      <c r="C19" s="39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</row>
    <row r="20" spans="1:16" x14ac:dyDescent="0.2">
      <c r="A20" s="37">
        <f t="shared" si="0"/>
        <v>7</v>
      </c>
      <c r="B20" s="38"/>
      <c r="C20" s="39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</row>
    <row r="21" spans="1:16" x14ac:dyDescent="0.2">
      <c r="A21" s="37">
        <f t="shared" si="0"/>
        <v>8</v>
      </c>
      <c r="B21" s="38"/>
      <c r="C21" s="39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spans="1:16" x14ac:dyDescent="0.2">
      <c r="A22" s="37">
        <f t="shared" si="0"/>
        <v>9</v>
      </c>
      <c r="B22" s="38"/>
      <c r="C22" s="39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</row>
    <row r="23" spans="1:16" x14ac:dyDescent="0.2">
      <c r="A23" s="37">
        <f t="shared" si="0"/>
        <v>10</v>
      </c>
      <c r="B23" s="38"/>
      <c r="C23" s="39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</row>
    <row r="24" spans="1:16" x14ac:dyDescent="0.2">
      <c r="A24" s="37">
        <f t="shared" si="0"/>
        <v>11</v>
      </c>
      <c r="B24" s="38"/>
      <c r="C24" s="39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x14ac:dyDescent="0.2">
      <c r="A25" s="37">
        <f t="shared" si="0"/>
        <v>12</v>
      </c>
      <c r="B25" s="38"/>
      <c r="C25" s="39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</row>
    <row r="26" spans="1:16" x14ac:dyDescent="0.2">
      <c r="A26" s="37">
        <f t="shared" si="0"/>
        <v>13</v>
      </c>
      <c r="B26" s="38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</row>
    <row r="27" spans="1:16" x14ac:dyDescent="0.2">
      <c r="A27" s="37">
        <f t="shared" si="0"/>
        <v>14</v>
      </c>
      <c r="B27" s="38" t="s">
        <v>75</v>
      </c>
      <c r="C27" s="39" t="s">
        <v>50</v>
      </c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</row>
    <row r="28" spans="1:16" x14ac:dyDescent="0.2">
      <c r="A28" s="37">
        <f t="shared" si="0"/>
        <v>15</v>
      </c>
      <c r="B28" s="60" t="s">
        <v>76</v>
      </c>
      <c r="C28" s="39">
        <v>2</v>
      </c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</row>
    <row r="29" spans="1:16" x14ac:dyDescent="0.2">
      <c r="A29" s="37">
        <f t="shared" si="0"/>
        <v>16</v>
      </c>
      <c r="B29" s="38" t="s">
        <v>77</v>
      </c>
      <c r="C29" s="39">
        <v>1.5</v>
      </c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</row>
    <row r="30" spans="1:16" ht="16" thickBot="1" x14ac:dyDescent="0.25">
      <c r="A30" s="43">
        <f t="shared" si="0"/>
        <v>17</v>
      </c>
      <c r="B30" s="44" t="s">
        <v>78</v>
      </c>
      <c r="C30" s="45">
        <v>1</v>
      </c>
      <c r="D30" s="4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/>
    </row>
    <row r="31" spans="1:16" ht="16" thickTop="1" x14ac:dyDescent="0.2">
      <c r="A31" s="11"/>
      <c r="C31" s="4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6" thickBot="1" x14ac:dyDescent="0.25">
      <c r="A32" s="11"/>
      <c r="C32" s="4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16" thickTop="1" x14ac:dyDescent="0.2">
      <c r="A33" s="50"/>
      <c r="B33" s="51" t="s">
        <v>79</v>
      </c>
      <c r="C33" s="52"/>
      <c r="D33" s="53"/>
      <c r="E33" s="54"/>
      <c r="F33" s="54"/>
      <c r="G33" s="54"/>
      <c r="H33" s="54" t="s">
        <v>80</v>
      </c>
      <c r="I33" s="54"/>
      <c r="J33" s="54"/>
      <c r="K33" s="54" t="s">
        <v>81</v>
      </c>
      <c r="L33" s="54"/>
      <c r="M33" s="54" t="s">
        <v>82</v>
      </c>
      <c r="N33" s="54"/>
      <c r="O33" s="54"/>
      <c r="P33" s="55"/>
    </row>
    <row r="34" spans="1:16" x14ac:dyDescent="0.2">
      <c r="A34" s="37"/>
      <c r="B34" s="38" t="s">
        <v>83</v>
      </c>
      <c r="C34" s="39"/>
      <c r="D34" s="40"/>
      <c r="E34" s="41"/>
      <c r="F34" s="41"/>
      <c r="G34" s="41"/>
      <c r="H34" s="41"/>
      <c r="I34" s="41"/>
      <c r="J34" s="41" t="s">
        <v>84</v>
      </c>
      <c r="K34" s="41"/>
      <c r="L34" s="41"/>
      <c r="M34" s="41"/>
      <c r="N34" s="41"/>
      <c r="O34" s="56" t="s">
        <v>85</v>
      </c>
      <c r="P34" s="42"/>
    </row>
    <row r="35" spans="1:16" ht="16" thickBot="1" x14ac:dyDescent="0.25">
      <c r="A35" s="43"/>
      <c r="B35" s="44" t="s">
        <v>86</v>
      </c>
      <c r="C35" s="45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</row>
    <row r="36" spans="1:16" ht="16" thickTop="1" x14ac:dyDescent="0.2">
      <c r="A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">
      <c r="A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2">
      <c r="A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2">
      <c r="A39" s="11"/>
      <c r="B39" s="57" t="s">
        <v>87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x14ac:dyDescent="0.2">
      <c r="A40" s="11"/>
      <c r="D40" s="11"/>
      <c r="E40" s="11"/>
      <c r="F40" s="11"/>
      <c r="G40" s="11"/>
      <c r="H40" s="11"/>
      <c r="I40" s="11"/>
      <c r="J40" s="11"/>
      <c r="K40" s="58" t="s">
        <v>88</v>
      </c>
      <c r="L40" s="11"/>
      <c r="M40" s="11"/>
      <c r="N40" s="11"/>
      <c r="O40" s="11"/>
      <c r="P40" s="11"/>
    </row>
    <row r="41" spans="1:16" x14ac:dyDescent="0.2">
      <c r="A41" s="11"/>
      <c r="B41" s="5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x14ac:dyDescent="0.2">
      <c r="A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 x14ac:dyDescent="0.2">
      <c r="A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x14ac:dyDescent="0.2">
      <c r="A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</sheetData>
  <mergeCells count="1">
    <mergeCell ref="D8:P8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I25"/>
  <sheetViews>
    <sheetView topLeftCell="A7" workbookViewId="0">
      <selection activeCell="B26" sqref="B26"/>
    </sheetView>
  </sheetViews>
  <sheetFormatPr baseColWidth="10" defaultColWidth="9.1640625" defaultRowHeight="15" x14ac:dyDescent="0.2"/>
  <cols>
    <col min="2" max="2" width="29.5" bestFit="1" customWidth="1"/>
  </cols>
  <sheetData>
    <row r="7" spans="1:9" ht="24" x14ac:dyDescent="0.3">
      <c r="B7" s="1" t="s">
        <v>16</v>
      </c>
    </row>
    <row r="9" spans="1:9" ht="16" thickBot="1" x14ac:dyDescent="0.25"/>
    <row r="10" spans="1:9" x14ac:dyDescent="0.2">
      <c r="A10" s="2" t="s">
        <v>17</v>
      </c>
      <c r="B10" s="3"/>
      <c r="G10" s="4"/>
      <c r="H10" s="2" t="s">
        <v>18</v>
      </c>
      <c r="I10" s="3"/>
    </row>
    <row r="11" spans="1:9" x14ac:dyDescent="0.2">
      <c r="A11" s="5" t="s">
        <v>19</v>
      </c>
      <c r="B11" s="6" t="s">
        <v>20</v>
      </c>
      <c r="H11" s="5" t="s">
        <v>21</v>
      </c>
      <c r="I11" s="7"/>
    </row>
    <row r="12" spans="1:9" ht="16" thickBot="1" x14ac:dyDescent="0.25">
      <c r="A12" s="8"/>
      <c r="B12" s="9"/>
      <c r="H12" s="8" t="s">
        <v>22</v>
      </c>
      <c r="I12" s="9"/>
    </row>
    <row r="15" spans="1:9" ht="21" x14ac:dyDescent="0.25">
      <c r="B15" s="65" t="s">
        <v>89</v>
      </c>
      <c r="C15" s="65"/>
      <c r="D15" s="65"/>
    </row>
    <row r="18" spans="1:4" x14ac:dyDescent="0.2">
      <c r="A18" s="10" t="s">
        <v>14</v>
      </c>
      <c r="B18" s="10" t="s">
        <v>15</v>
      </c>
      <c r="C18" s="10" t="s">
        <v>3</v>
      </c>
      <c r="D18" s="10" t="s">
        <v>23</v>
      </c>
    </row>
    <row r="19" spans="1:4" x14ac:dyDescent="0.2">
      <c r="A19" t="s">
        <v>96</v>
      </c>
      <c r="B19" t="s">
        <v>11</v>
      </c>
    </row>
    <row r="20" spans="1:4" x14ac:dyDescent="0.2">
      <c r="B20" t="s">
        <v>98</v>
      </c>
    </row>
    <row r="21" spans="1:4" x14ac:dyDescent="0.2">
      <c r="B21" t="s">
        <v>12</v>
      </c>
    </row>
    <row r="22" spans="1:4" x14ac:dyDescent="0.2">
      <c r="B22" t="s">
        <v>13</v>
      </c>
    </row>
    <row r="23" spans="1:4" x14ac:dyDescent="0.2">
      <c r="B23" t="s">
        <v>97</v>
      </c>
    </row>
    <row r="24" spans="1:4" x14ac:dyDescent="0.2">
      <c r="B24" t="s">
        <v>99</v>
      </c>
    </row>
    <row r="25" spans="1:4" x14ac:dyDescent="0.2">
      <c r="B25" t="s">
        <v>90</v>
      </c>
    </row>
  </sheetData>
  <mergeCells count="1">
    <mergeCell ref="B15:D15"/>
  </mergeCells>
  <pageMargins left="0.7" right="0.7" top="0.75" bottom="0.75" header="0.3" footer="0.3"/>
  <pageSetup paperSize="9" orientation="portrait" verticalDpi="0" r:id="rId1"/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Checklist</vt:lpstr>
      <vt:lpstr>Projekt Plan V1.0 (deut.)</vt:lpstr>
      <vt:lpstr>Project Plan V1.0 (eng.)</vt:lpstr>
      <vt:lpstr>Resulting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2026-04-12T10:44:41Z</dcterms:modified>
</cp:coreProperties>
</file>